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z13/Downloads/"/>
    </mc:Choice>
  </mc:AlternateContent>
  <xr:revisionPtr revIDLastSave="0" documentId="8_{07185E08-203E-BE40-A3EE-0FC08280A577}" xr6:coauthVersionLast="44" xr6:coauthVersionMax="44" xr10:uidLastSave="{00000000-0000-0000-0000-000000000000}"/>
  <bookViews>
    <workbookView xWindow="1520" yWindow="460" windowWidth="32080" windowHeight="2054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1" l="1"/>
  <c r="E31" i="1"/>
  <c r="F110" i="1" s="1"/>
  <c r="E35" i="1"/>
  <c r="E32" i="1"/>
  <c r="F111" i="1" s="1"/>
  <c r="E30" i="1"/>
  <c r="F109" i="1" s="1"/>
  <c r="F229" i="1"/>
  <c r="E229" i="1"/>
  <c r="D229" i="1"/>
  <c r="F228" i="1"/>
  <c r="E228" i="1"/>
  <c r="D228" i="1"/>
  <c r="F227" i="1"/>
  <c r="E227" i="1"/>
  <c r="D227" i="1"/>
  <c r="F226" i="1"/>
  <c r="E226" i="1"/>
  <c r="D226" i="1"/>
  <c r="F225" i="1"/>
  <c r="E225" i="1"/>
  <c r="D225" i="1"/>
  <c r="F224" i="1"/>
  <c r="E224" i="1"/>
  <c r="D224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172" i="1"/>
  <c r="D172" i="1"/>
  <c r="E171" i="1"/>
  <c r="D171" i="1"/>
  <c r="E170" i="1"/>
  <c r="D170" i="1"/>
  <c r="E169" i="1"/>
  <c r="D169" i="1"/>
  <c r="E168" i="1"/>
  <c r="D168" i="1"/>
  <c r="D163" i="1"/>
  <c r="D162" i="1"/>
  <c r="D161" i="1"/>
  <c r="D160" i="1"/>
  <c r="D159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F133" i="1"/>
  <c r="E133" i="1"/>
  <c r="E132" i="1"/>
  <c r="E131" i="1"/>
  <c r="E130" i="1"/>
  <c r="F129" i="1"/>
  <c r="E129" i="1"/>
  <c r="E128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5" i="1"/>
  <c r="E104" i="1"/>
  <c r="F103" i="1"/>
  <c r="E103" i="1"/>
  <c r="E102" i="1"/>
  <c r="E101" i="1"/>
  <c r="E100" i="1"/>
  <c r="E77" i="1"/>
  <c r="D77" i="1"/>
  <c r="E76" i="1"/>
  <c r="D76" i="1"/>
  <c r="E75" i="1"/>
  <c r="D75" i="1"/>
  <c r="E74" i="1"/>
  <c r="D74" i="1"/>
  <c r="E73" i="1"/>
  <c r="D73" i="1"/>
  <c r="E56" i="1"/>
  <c r="F142" i="1" s="1"/>
  <c r="D56" i="1"/>
  <c r="E55" i="1"/>
  <c r="F141" i="1" s="1"/>
  <c r="D55" i="1"/>
  <c r="F132" i="1" s="1"/>
  <c r="E54" i="1"/>
  <c r="F140" i="1" s="1"/>
  <c r="D54" i="1"/>
  <c r="F131" i="1" s="1"/>
  <c r="E53" i="1"/>
  <c r="F139" i="1" s="1"/>
  <c r="D53" i="1"/>
  <c r="F130" i="1" s="1"/>
  <c r="E52" i="1"/>
  <c r="F138" i="1" s="1"/>
  <c r="D52" i="1"/>
  <c r="E51" i="1"/>
  <c r="F137" i="1" s="1"/>
  <c r="D51" i="1"/>
  <c r="F128" i="1" s="1"/>
  <c r="F114" i="1"/>
  <c r="D35" i="1"/>
  <c r="F105" i="1" s="1"/>
  <c r="E34" i="1"/>
  <c r="F113" i="1" s="1"/>
  <c r="D34" i="1"/>
  <c r="F104" i="1" s="1"/>
  <c r="E33" i="1"/>
  <c r="F112" i="1" s="1"/>
  <c r="D33" i="1"/>
  <c r="D32" i="1"/>
  <c r="F102" i="1" s="1"/>
  <c r="D31" i="1"/>
  <c r="F101" i="1" s="1"/>
  <c r="F100" i="1"/>
</calcChain>
</file>

<file path=xl/sharedStrings.xml><?xml version="1.0" encoding="utf-8"?>
<sst xmlns="http://schemas.openxmlformats.org/spreadsheetml/2006/main" count="101" uniqueCount="48">
  <si>
    <t>For all experiments the following holds true:</t>
  </si>
  <si>
    <t># graph name = higgs_edgelist.txt</t>
  </si>
  <si>
    <t># data format = nnt</t>
  </si>
  <si>
    <t># num nodes = 304198</t>
  </si>
  <si>
    <t># walk type = Temporal</t>
  </si>
  <si>
    <t>ground-truth determination:</t>
  </si>
  <si>
    <t># num walkers = 1000000000</t>
  </si>
  <si>
    <t># score type = cp</t>
  </si>
  <si>
    <t>seed=200223 top100 results:</t>
  </si>
  <si>
    <t xml:space="preserve">200223(0.368488) 208107(0.125281) 5745(0.067279) 90(0.0663641) 19452(0.0628609) 271619(0.0152818) 35052(0.0152795) 246624(0.0133124) 228946(0.0133104) 81450(0.00463287) 209179(0.0046313) 88283(0.00463125) 208329(0.00463099) 1813(0.0046308) 209609(0.00463076) 251858(0.0046306) 280645(0.00463054) 32849(0.0046303) 89737(0.0046301) 255444(0.00463009) 256124(0.00463007) 197351(0.00463007) 10389(0.00463006) 218040(0.00463004) 251604(0.00462989) 252932(0.00462982) 147021(0.00462966) 211526(0.00462965) 252868(0.00462942) 135443(0.00462914) 269456(0.00462846) 815(0.0040572) 302804(0.00334643) 4429(0.00128198) 6(0.000996513) 6523(0.000629869) 40760(0.000609462) 8873(0.000606429) 157360(0.000606314) 55895(0.000605637) 6944(0.000604132) 27461(0.000603951) 4619(0.000603912) 263677(0.000603242) 257354(0.000603119) 272174(0.00060309) 301425(0.000603004) 65273(0.000602957) 301396(0.000602927) 185942(0.000602907) 125315(0.000602901) 262279(0.00060282) 37570(0.000602773) 286128(0.000602771) 261166(0.000602691) 153875(0.000602625) 255109(0.000602501) 160059(0.000602446) 221631(0.000602393) 59577(0.00060235) 21775(0.000602261) 266696(0.000602127) 147574(0.000602021) 216059(0.000600647) 1212(0.00060041) 6234(0.000600362) 169155(0.000600316) 258297(0.000600148) 255211(0.000600133) 258430(0.000600127) 26588(0.000600055) 20018(0.000600049) 220068(0.000600021) 152499(0.000600019) 57(0.000599977) 255112(0.000599889) 85369(0.000599889) 242712(0.000599883) 218738(0.000599851) 125094(0.000599835) 255430(0.000599817) 260411(0.000599817) 7209(0.00059981) 257591(0.000599805) 257302(0.00059978) 237669(0.000599768) 259867(0.000599767) 7910(0.000599741) 255049(0.000599728) 256521(0.000599724) 255349(0.000599709) 125262(0.000599657) 255135(0.000599652) 257788(0.000599644) 219304(0.000599623) 255284(0.000599611) 255288(0.000599593) 260346(0.00059959) 1221(0.00059959) 34030(0.000599585) </t>
  </si>
  <si>
    <t>seed=301065 top100 results:</t>
  </si>
  <si>
    <t>301065(0.443713) 301067(0.294048) 301066(0.262236)</t>
  </si>
  <si>
    <t>CP Score Experiments</t>
  </si>
  <si>
    <t>SEED = 200223 (high temporal reachability)</t>
  </si>
  <si>
    <t>10th largest = 81450(0.00463287)</t>
  </si>
  <si>
    <t>Target = 81450</t>
  </si>
  <si>
    <t>Trial</t>
  </si>
  <si>
    <t>Num walkers</t>
  </si>
  <si>
    <t>CP estimate</t>
  </si>
  <si>
    <t>Sample var</t>
  </si>
  <si>
    <t>100th largest = 34030(0.000599585)</t>
  </si>
  <si>
    <t>Target = 34030</t>
  </si>
  <si>
    <t>Sample mean</t>
  </si>
  <si>
    <t>SEED = 301065 (low temporal reachability)</t>
  </si>
  <si>
    <t>3rd largest = 301066(0.262236)</t>
  </si>
  <si>
    <t>Target = 301066</t>
  </si>
  <si>
    <t>EP Score Experiments + Comparison Charts</t>
  </si>
  <si>
    <t>10th largest</t>
  </si>
  <si>
    <t>Mean</t>
  </si>
  <si>
    <t>True score</t>
  </si>
  <si>
    <t>EP estimate</t>
  </si>
  <si>
    <t>Variance</t>
  </si>
  <si>
    <t>EP sample VAR</t>
  </si>
  <si>
    <t>Theoretical bound</t>
  </si>
  <si>
    <t>CP sample VAR</t>
  </si>
  <si>
    <t>100th largest</t>
  </si>
  <si>
    <t>3rd largest</t>
  </si>
  <si>
    <t>Theoretical value</t>
  </si>
  <si>
    <t>EP sample var</t>
  </si>
  <si>
    <t>EP theoretical var</t>
  </si>
  <si>
    <t>CP sample var</t>
  </si>
  <si>
    <t>6clique experiment</t>
  </si>
  <si>
    <t>seed = 0</t>
  </si>
  <si>
    <t>(goal is to test is EP variance is ever better than CP variance)</t>
  </si>
  <si>
    <t>target = 1</t>
  </si>
  <si>
    <t>EP experiment:</t>
  </si>
  <si>
    <t>CP experiment: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</si>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</sst>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12">
    <font>
      <sz val="10"/>
      <color rgb="FF000000"/>
      <name val="Arial"/>
    </font>
    <font>
      <sz val="10"/>
      <name val="Arial"/>
    </font>
    <font>
      <sz val="10"/>
      <color rgb="FF2FFF12"/>
      <name val="Arial"/>
    </font>
    <font>
      <sz val="52"/>
      <name val="Arial"/>
    </font>
    <font>
      <sz val="24"/>
      <name val="Arial"/>
    </font>
    <font>
      <sz val="10"/>
      <color rgb="FF000000"/>
      <name val="Roboto"/>
    </font>
    <font>
      <b/>
      <sz val="10"/>
      <name val="Arial"/>
    </font>
    <font>
      <sz val="10"/>
      <name val="Arial"/>
    </font>
    <font>
      <sz val="52"/>
      <name val="Arial"/>
    </font>
    <font>
      <sz val="24"/>
      <name val="Arial"/>
    </font>
    <font>
      <b/>
      <sz val="10"/>
      <name val="Arial"/>
    </font>
    <font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0" fontId="2" fillId="3" borderId="0" xfId="0" applyFont="1" applyFill="1" applyAlignment="1"/>
    <xf numFmtId="11" fontId="6" fillId="0" borderId="0" xfId="0" applyNumberFormat="1" applyFont="1"/>
    <xf numFmtId="11" fontId="2" fillId="3" borderId="0" xfId="0" applyNumberFormat="1" applyFont="1" applyFill="1" applyAlignment="1"/>
    <xf numFmtId="164" fontId="1" fillId="0" borderId="0" xfId="0" applyNumberFormat="1" applyFont="1"/>
    <xf numFmtId="0" fontId="1" fillId="0" borderId="0" xfId="0" applyFont="1"/>
    <xf numFmtId="164" fontId="5" fillId="2" borderId="0" xfId="0" applyNumberFormat="1" applyFont="1" applyFill="1" applyAlignment="1"/>
    <xf numFmtId="164" fontId="1" fillId="0" borderId="0" xfId="0" applyNumberFormat="1" applyFont="1" applyAlignment="1">
      <alignment horizontal="right"/>
    </xf>
    <xf numFmtId="0" fontId="5" fillId="0" borderId="0" xfId="0" applyFont="1" applyAlignment="1"/>
    <xf numFmtId="0" fontId="7" fillId="0" borderId="0" xfId="0" applyFont="1" applyAlignment="1"/>
    <xf numFmtId="0" fontId="8" fillId="0" borderId="1" xfId="0" applyFont="1" applyBorder="1" applyAlignment="1"/>
    <xf numFmtId="0" fontId="7" fillId="0" borderId="1" xfId="0" applyFont="1" applyBorder="1" applyAlignment="1"/>
    <xf numFmtId="0" fontId="7" fillId="0" borderId="1" xfId="0" applyFont="1" applyBorder="1" applyAlignment="1"/>
    <xf numFmtId="0" fontId="7" fillId="0" borderId="0" xfId="0" applyFont="1" applyAlignment="1"/>
    <xf numFmtId="0" fontId="9" fillId="0" borderId="1" xfId="0" applyFont="1" applyBorder="1" applyAlignment="1"/>
    <xf numFmtId="11" fontId="7" fillId="0" borderId="1" xfId="0" applyNumberFormat="1" applyFont="1" applyBorder="1" applyAlignment="1"/>
    <xf numFmtId="11" fontId="7" fillId="0" borderId="0" xfId="0" applyNumberFormat="1" applyFont="1" applyAlignment="1"/>
    <xf numFmtId="0" fontId="7" fillId="0" borderId="1" xfId="0" applyFont="1" applyBorder="1" applyAlignment="1"/>
    <xf numFmtId="11" fontId="7" fillId="2" borderId="0" xfId="0" applyNumberFormat="1" applyFont="1" applyFill="1" applyAlignment="1"/>
    <xf numFmtId="0" fontId="10" fillId="0" borderId="0" xfId="0" applyFont="1" applyAlignment="1">
      <alignment horizontal="center"/>
    </xf>
    <xf numFmtId="11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1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164" fontId="7" fillId="0" borderId="1" xfId="0" applyNumberFormat="1" applyFont="1" applyBorder="1" applyAlignment="1"/>
    <xf numFmtId="0" fontId="7" fillId="0" borderId="0" xfId="0" applyFont="1" applyAlignment="1">
      <alignment horizontal="right"/>
    </xf>
    <xf numFmtId="164" fontId="7" fillId="2" borderId="0" xfId="0" applyNumberFormat="1" applyFont="1" applyFill="1" applyAlignment="1"/>
    <xf numFmtId="0" fontId="7" fillId="0" borderId="0" xfId="0" applyFont="1" applyAlignment="1">
      <alignment horizontal="center"/>
    </xf>
    <xf numFmtId="0" fontId="2" fillId="3" borderId="0" xfId="0" applyFont="1" applyFill="1" applyAlignment="1"/>
    <xf numFmtId="0" fontId="7" fillId="3" borderId="0" xfId="0" applyFont="1" applyFill="1" applyAlignment="1"/>
    <xf numFmtId="11" fontId="7" fillId="3" borderId="0" xfId="0" applyNumberFormat="1" applyFont="1" applyFill="1" applyAlignment="1"/>
    <xf numFmtId="0" fontId="8" fillId="0" borderId="0" xfId="0" applyFont="1" applyAlignment="1"/>
    <xf numFmtId="11" fontId="7" fillId="0" borderId="0" xfId="0" applyNumberFormat="1" applyFont="1" applyAlignment="1"/>
    <xf numFmtId="11" fontId="10" fillId="0" borderId="0" xfId="0" applyNumberFormat="1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Y1070"/>
  <sheetViews>
    <sheetView tabSelected="1" topLeftCell="A42" workbookViewId="0">
      <selection activeCell="E73" sqref="E73"/>
    </sheetView>
  </sheetViews>
  <sheetFormatPr baseColWidth="10" defaultColWidth="14.5" defaultRowHeight="15.75" customHeight="1"/>
  <sheetData>
    <row r="1" spans="2:6" ht="15.75" customHeight="1">
      <c r="B1" s="1" t="s">
        <v>0</v>
      </c>
    </row>
    <row r="2" spans="2:6" ht="15.75" customHeight="1">
      <c r="B2" s="1" t="s">
        <v>1</v>
      </c>
    </row>
    <row r="3" spans="2:6" ht="15.75" customHeight="1">
      <c r="B3" s="1" t="s">
        <v>2</v>
      </c>
    </row>
    <row r="4" spans="2:6" ht="15.75" customHeight="1">
      <c r="B4" s="1" t="s">
        <v>3</v>
      </c>
    </row>
    <row r="5" spans="2:6" ht="15.75" customHeight="1">
      <c r="B5" s="1" t="s">
        <v>4</v>
      </c>
    </row>
    <row r="7" spans="2:6" ht="15.75" customHeight="1">
      <c r="B7" s="1" t="s">
        <v>5</v>
      </c>
    </row>
    <row r="8" spans="2:6" ht="15.75" customHeight="1">
      <c r="B8" s="1" t="s">
        <v>6</v>
      </c>
    </row>
    <row r="9" spans="2:6" ht="15.75" customHeight="1">
      <c r="B9" s="1" t="s">
        <v>7</v>
      </c>
    </row>
    <row r="10" spans="2:6" ht="15.75" customHeight="1">
      <c r="B10" s="1" t="s">
        <v>8</v>
      </c>
      <c r="D10" s="1" t="s">
        <v>9</v>
      </c>
    </row>
    <row r="11" spans="2:6" ht="15.75" customHeight="1">
      <c r="B11" s="1" t="s">
        <v>10</v>
      </c>
      <c r="C11" s="1"/>
      <c r="D11" s="1" t="s">
        <v>11</v>
      </c>
    </row>
    <row r="12" spans="2:6" ht="15.75" customHeight="1">
      <c r="F12" s="2"/>
    </row>
    <row r="13" spans="2:6" ht="51" customHeight="1"/>
    <row r="14" spans="2:6" ht="81" customHeight="1">
      <c r="B14" s="3" t="s">
        <v>12</v>
      </c>
    </row>
    <row r="16" spans="2:6" ht="29" customHeight="1">
      <c r="B16" s="4" t="s">
        <v>13</v>
      </c>
    </row>
    <row r="18" spans="2:103" ht="15.75" customHeight="1">
      <c r="B18" s="1" t="s">
        <v>14</v>
      </c>
      <c r="C18" s="5"/>
    </row>
    <row r="19" spans="2:103" ht="15.75" customHeight="1">
      <c r="B19" s="6" t="s">
        <v>15</v>
      </c>
      <c r="C19" s="7" t="s">
        <v>16</v>
      </c>
      <c r="D19" s="1">
        <v>1</v>
      </c>
      <c r="E19" s="1">
        <v>2</v>
      </c>
      <c r="F19" s="1">
        <v>3</v>
      </c>
      <c r="G19" s="1">
        <v>4</v>
      </c>
      <c r="H19" s="1">
        <v>5</v>
      </c>
      <c r="I19" s="1">
        <v>6</v>
      </c>
      <c r="J19" s="1">
        <v>7</v>
      </c>
      <c r="K19" s="1">
        <v>8</v>
      </c>
      <c r="L19" s="1">
        <v>9</v>
      </c>
      <c r="M19" s="1">
        <v>10</v>
      </c>
      <c r="N19" s="1">
        <v>11</v>
      </c>
      <c r="O19" s="1">
        <v>12</v>
      </c>
      <c r="P19" s="1">
        <v>13</v>
      </c>
      <c r="Q19" s="1">
        <v>14</v>
      </c>
      <c r="R19" s="1">
        <v>15</v>
      </c>
      <c r="S19" s="1">
        <v>16</v>
      </c>
      <c r="T19" s="1">
        <v>17</v>
      </c>
      <c r="U19" s="1">
        <v>18</v>
      </c>
      <c r="V19" s="1">
        <v>19</v>
      </c>
      <c r="W19" s="1">
        <v>20</v>
      </c>
      <c r="X19" s="1">
        <v>21</v>
      </c>
      <c r="Y19" s="1">
        <v>22</v>
      </c>
      <c r="Z19" s="1">
        <v>23</v>
      </c>
      <c r="AA19" s="1">
        <v>24</v>
      </c>
      <c r="AB19" s="1">
        <v>25</v>
      </c>
      <c r="AC19" s="1">
        <v>26</v>
      </c>
      <c r="AD19" s="1">
        <v>27</v>
      </c>
      <c r="AE19" s="1">
        <v>28</v>
      </c>
      <c r="AF19" s="1">
        <v>29</v>
      </c>
      <c r="AG19" s="1">
        <v>30</v>
      </c>
      <c r="AH19" s="1">
        <v>31</v>
      </c>
      <c r="AI19" s="1">
        <v>32</v>
      </c>
      <c r="AJ19" s="1">
        <v>33</v>
      </c>
      <c r="AK19" s="1">
        <v>34</v>
      </c>
      <c r="AL19" s="1">
        <v>35</v>
      </c>
      <c r="AM19" s="1">
        <v>36</v>
      </c>
      <c r="AN19" s="1">
        <v>37</v>
      </c>
      <c r="AO19" s="1">
        <v>38</v>
      </c>
      <c r="AP19" s="1">
        <v>39</v>
      </c>
      <c r="AQ19" s="1">
        <v>40</v>
      </c>
      <c r="AR19" s="1">
        <v>41</v>
      </c>
      <c r="AS19" s="1">
        <v>42</v>
      </c>
      <c r="AT19" s="1">
        <v>43</v>
      </c>
      <c r="AU19" s="1">
        <v>44</v>
      </c>
      <c r="AV19" s="1">
        <v>45</v>
      </c>
      <c r="AW19" s="1">
        <v>46</v>
      </c>
      <c r="AX19" s="1">
        <v>47</v>
      </c>
      <c r="AY19" s="1">
        <v>48</v>
      </c>
      <c r="AZ19" s="1">
        <v>49</v>
      </c>
      <c r="BA19" s="1">
        <v>50</v>
      </c>
      <c r="BB19" s="1">
        <v>51</v>
      </c>
      <c r="BC19" s="1">
        <v>52</v>
      </c>
      <c r="BD19" s="1">
        <v>53</v>
      </c>
      <c r="BE19" s="1">
        <v>54</v>
      </c>
      <c r="BF19" s="1">
        <v>55</v>
      </c>
      <c r="BG19" s="1">
        <v>56</v>
      </c>
      <c r="BH19" s="1">
        <v>57</v>
      </c>
      <c r="BI19" s="1">
        <v>58</v>
      </c>
      <c r="BJ19" s="1">
        <v>59</v>
      </c>
      <c r="BK19" s="1">
        <v>60</v>
      </c>
      <c r="BL19" s="1">
        <v>61</v>
      </c>
      <c r="BM19" s="1">
        <v>62</v>
      </c>
      <c r="BN19" s="1">
        <v>63</v>
      </c>
      <c r="BO19" s="1">
        <v>64</v>
      </c>
      <c r="BP19" s="1">
        <v>65</v>
      </c>
      <c r="BQ19" s="1">
        <v>66</v>
      </c>
      <c r="BR19" s="1">
        <v>67</v>
      </c>
      <c r="BS19" s="1">
        <v>68</v>
      </c>
      <c r="BT19" s="1">
        <v>69</v>
      </c>
      <c r="BU19" s="1">
        <v>70</v>
      </c>
      <c r="BV19" s="1">
        <v>71</v>
      </c>
      <c r="BW19" s="1">
        <v>72</v>
      </c>
      <c r="BX19" s="1">
        <v>73</v>
      </c>
      <c r="BY19" s="1">
        <v>74</v>
      </c>
      <c r="BZ19" s="1">
        <v>75</v>
      </c>
      <c r="CA19" s="1">
        <v>76</v>
      </c>
      <c r="CB19" s="1">
        <v>77</v>
      </c>
      <c r="CC19" s="1">
        <v>78</v>
      </c>
      <c r="CD19" s="1">
        <v>79</v>
      </c>
      <c r="CE19" s="1">
        <v>80</v>
      </c>
      <c r="CF19" s="1">
        <v>81</v>
      </c>
      <c r="CG19" s="1">
        <v>82</v>
      </c>
      <c r="CH19" s="1">
        <v>83</v>
      </c>
      <c r="CI19" s="1">
        <v>84</v>
      </c>
      <c r="CJ19" s="1">
        <v>85</v>
      </c>
      <c r="CK19" s="1">
        <v>86</v>
      </c>
      <c r="CL19" s="1">
        <v>87</v>
      </c>
      <c r="CM19" s="1">
        <v>88</v>
      </c>
      <c r="CN19" s="1">
        <v>89</v>
      </c>
      <c r="CO19" s="1">
        <v>90</v>
      </c>
      <c r="CP19" s="1">
        <v>91</v>
      </c>
      <c r="CQ19" s="1">
        <v>92</v>
      </c>
      <c r="CR19" s="1">
        <v>93</v>
      </c>
      <c r="CS19" s="1">
        <v>94</v>
      </c>
      <c r="CT19" s="1">
        <v>95</v>
      </c>
      <c r="CU19" s="1">
        <v>96</v>
      </c>
      <c r="CV19" s="1">
        <v>97</v>
      </c>
      <c r="CW19" s="1">
        <v>98</v>
      </c>
      <c r="CX19" s="1">
        <v>99</v>
      </c>
      <c r="CY19" s="1">
        <v>100</v>
      </c>
    </row>
    <row r="20" spans="2:103" ht="15.75" customHeight="1">
      <c r="C20" s="1" t="s">
        <v>17</v>
      </c>
    </row>
    <row r="21" spans="2:103" ht="15.75" customHeight="1">
      <c r="C21" s="8">
        <v>10</v>
      </c>
      <c r="D21" s="9">
        <v>0</v>
      </c>
      <c r="E21" s="9">
        <v>0</v>
      </c>
      <c r="F21" s="9">
        <v>0</v>
      </c>
      <c r="G21" s="9">
        <v>0.03</v>
      </c>
      <c r="H21" s="9">
        <v>0</v>
      </c>
      <c r="I21" s="9">
        <v>0</v>
      </c>
      <c r="J21" s="9">
        <v>0</v>
      </c>
      <c r="K21" s="9">
        <v>1.4999999999999999E-2</v>
      </c>
      <c r="L21" s="9">
        <v>0</v>
      </c>
      <c r="M21" s="9">
        <v>0.03</v>
      </c>
      <c r="N21" s="9">
        <v>0</v>
      </c>
      <c r="O21" s="9">
        <v>0</v>
      </c>
      <c r="P21" s="9">
        <v>0</v>
      </c>
      <c r="Q21" s="9">
        <v>0</v>
      </c>
      <c r="R21" s="9">
        <v>1.4999999999999999E-2</v>
      </c>
      <c r="S21" s="9">
        <v>0</v>
      </c>
      <c r="T21" s="9">
        <v>0</v>
      </c>
      <c r="U21" s="9">
        <v>1.4999999999999999E-2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1.4999999999999999E-2</v>
      </c>
      <c r="AB21" s="9">
        <v>1.4999999999999999E-2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0.03</v>
      </c>
      <c r="AK21" s="9">
        <v>0</v>
      </c>
      <c r="AL21" s="9">
        <v>1.4999999999999999E-2</v>
      </c>
      <c r="AM21" s="9">
        <v>0</v>
      </c>
      <c r="AN21" s="9">
        <v>1.4999999999999999E-2</v>
      </c>
      <c r="AO21" s="9">
        <v>0</v>
      </c>
      <c r="AP21" s="9">
        <v>0</v>
      </c>
      <c r="AQ21" s="9">
        <v>0</v>
      </c>
      <c r="AR21" s="9">
        <v>0</v>
      </c>
      <c r="AS21" s="9">
        <v>1.4999999999999999E-2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1.4999999999999999E-2</v>
      </c>
      <c r="BB21" s="9">
        <v>0</v>
      </c>
      <c r="BC21" s="9">
        <v>0</v>
      </c>
      <c r="BD21" s="9">
        <v>1.4999999999999999E-2</v>
      </c>
      <c r="BE21" s="9">
        <v>0</v>
      </c>
      <c r="BF21" s="9">
        <v>1.4999999999999999E-2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1.4999999999999999E-2</v>
      </c>
      <c r="BN21" s="9">
        <v>1.4999999999999999E-2</v>
      </c>
      <c r="BO21" s="9">
        <v>0</v>
      </c>
      <c r="BP21" s="9">
        <v>1.4999999999999999E-2</v>
      </c>
      <c r="BQ21" s="9">
        <v>0</v>
      </c>
      <c r="BR21" s="9">
        <v>0</v>
      </c>
      <c r="BS21" s="9">
        <v>1.4999999999999999E-2</v>
      </c>
      <c r="BT21" s="9">
        <v>0</v>
      </c>
      <c r="BU21" s="9">
        <v>1.4999999999999999E-2</v>
      </c>
      <c r="BV21" s="9">
        <v>0</v>
      </c>
      <c r="BW21" s="9">
        <v>1.4999999999999999E-2</v>
      </c>
      <c r="BX21" s="9">
        <v>0.03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1.4999999999999999E-2</v>
      </c>
      <c r="CH21" s="9">
        <v>0</v>
      </c>
      <c r="CI21" s="9">
        <v>1.4999999999999999E-2</v>
      </c>
      <c r="CJ21" s="9">
        <v>0</v>
      </c>
      <c r="CK21" s="9">
        <v>0</v>
      </c>
      <c r="CL21" s="9">
        <v>0</v>
      </c>
      <c r="CM21" s="9">
        <v>1.4999999999999999E-2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1.4999999999999999E-2</v>
      </c>
      <c r="CV21" s="9">
        <v>0</v>
      </c>
      <c r="CW21" s="9">
        <v>0</v>
      </c>
      <c r="CX21" s="9">
        <v>0</v>
      </c>
      <c r="CY21" s="9">
        <v>0</v>
      </c>
    </row>
    <row r="22" spans="2:103" ht="15.75" customHeight="1">
      <c r="C22" s="8">
        <v>100</v>
      </c>
      <c r="D22" s="9">
        <v>7.4999999999999997E-3</v>
      </c>
      <c r="E22" s="9">
        <v>8.9999999999999993E-3</v>
      </c>
      <c r="F22" s="9">
        <v>7.4999999999999997E-3</v>
      </c>
      <c r="G22" s="9">
        <v>1.0500000000000001E-2</v>
      </c>
      <c r="H22" s="9">
        <v>3.0000000000000001E-3</v>
      </c>
      <c r="I22" s="9">
        <v>3.0000000000000001E-3</v>
      </c>
      <c r="J22" s="9">
        <v>6.0000000000000001E-3</v>
      </c>
      <c r="K22" s="9">
        <v>1.0500000000000001E-2</v>
      </c>
      <c r="L22" s="9">
        <v>6.0000000000000001E-3</v>
      </c>
      <c r="M22" s="9">
        <v>7.4999999999999997E-3</v>
      </c>
      <c r="N22" s="9">
        <v>1.2E-2</v>
      </c>
      <c r="O22" s="9">
        <v>1.0500000000000001E-2</v>
      </c>
      <c r="P22" s="9">
        <v>6.0000000000000001E-3</v>
      </c>
      <c r="Q22" s="9">
        <v>1.5E-3</v>
      </c>
      <c r="R22" s="9">
        <v>1.5E-3</v>
      </c>
      <c r="S22" s="9">
        <v>7.4999999999999997E-3</v>
      </c>
      <c r="T22" s="9">
        <v>3.0000000000000001E-3</v>
      </c>
      <c r="U22" s="9">
        <v>7.4999999999999997E-3</v>
      </c>
      <c r="V22" s="9">
        <v>4.4999999999999997E-3</v>
      </c>
      <c r="W22" s="9">
        <v>6.0000000000000001E-3</v>
      </c>
      <c r="X22" s="9">
        <v>3.0000000000000001E-3</v>
      </c>
      <c r="Y22" s="9">
        <v>1.5E-3</v>
      </c>
      <c r="Z22" s="9">
        <v>3.0000000000000001E-3</v>
      </c>
      <c r="AA22" s="9">
        <v>1.0500000000000001E-2</v>
      </c>
      <c r="AB22" s="9">
        <v>4.4999999999999997E-3</v>
      </c>
      <c r="AC22" s="9">
        <v>4.4999999999999997E-3</v>
      </c>
      <c r="AD22" s="9">
        <v>6.0000000000000001E-3</v>
      </c>
      <c r="AE22" s="9">
        <v>3.0000000000000001E-3</v>
      </c>
      <c r="AF22" s="9">
        <v>4.4999999999999997E-3</v>
      </c>
      <c r="AG22" s="9">
        <v>7.4999999999999997E-3</v>
      </c>
      <c r="AH22" s="9">
        <v>4.4999999999999997E-3</v>
      </c>
      <c r="AI22" s="9">
        <v>1.2E-2</v>
      </c>
      <c r="AJ22" s="9">
        <v>7.4999999999999997E-3</v>
      </c>
      <c r="AK22" s="9">
        <v>3.0000000000000001E-3</v>
      </c>
      <c r="AL22" s="9">
        <v>0</v>
      </c>
      <c r="AM22" s="9">
        <v>1.5E-3</v>
      </c>
      <c r="AN22" s="9">
        <v>0</v>
      </c>
      <c r="AO22" s="9">
        <v>1.5E-3</v>
      </c>
      <c r="AP22" s="9">
        <v>6.0000000000000001E-3</v>
      </c>
      <c r="AQ22" s="9">
        <v>4.4999999999999997E-3</v>
      </c>
      <c r="AR22" s="9">
        <v>4.4999999999999997E-3</v>
      </c>
      <c r="AS22" s="9">
        <v>1.5E-3</v>
      </c>
      <c r="AT22" s="9">
        <v>6.0000000000000001E-3</v>
      </c>
      <c r="AU22" s="9">
        <v>0</v>
      </c>
      <c r="AV22" s="9">
        <v>3.0000000000000001E-3</v>
      </c>
      <c r="AW22" s="9">
        <v>3.0000000000000001E-3</v>
      </c>
      <c r="AX22" s="9">
        <v>4.4999999999999997E-3</v>
      </c>
      <c r="AY22" s="9">
        <v>6.0000000000000001E-3</v>
      </c>
      <c r="AZ22" s="9">
        <v>4.4999999999999997E-3</v>
      </c>
      <c r="BA22" s="9">
        <v>4.4999999999999997E-3</v>
      </c>
      <c r="BB22" s="9">
        <v>4.4999999999999997E-3</v>
      </c>
      <c r="BC22" s="9">
        <v>8.9999999999999993E-3</v>
      </c>
      <c r="BD22" s="9">
        <v>1.0500000000000001E-2</v>
      </c>
      <c r="BE22" s="9">
        <v>3.0000000000000001E-3</v>
      </c>
      <c r="BF22" s="9">
        <v>3.0000000000000001E-3</v>
      </c>
      <c r="BG22" s="9">
        <v>1.5E-3</v>
      </c>
      <c r="BH22" s="9">
        <v>6.0000000000000001E-3</v>
      </c>
      <c r="BI22" s="9">
        <v>3.0000000000000001E-3</v>
      </c>
      <c r="BJ22" s="9">
        <v>4.4999999999999997E-3</v>
      </c>
      <c r="BK22" s="9">
        <v>1.5E-3</v>
      </c>
      <c r="BL22" s="9">
        <v>7.4999999999999997E-3</v>
      </c>
      <c r="BM22" s="9">
        <v>4.4999999999999997E-3</v>
      </c>
      <c r="BN22" s="9">
        <v>1.5E-3</v>
      </c>
      <c r="BO22" s="9">
        <v>6.0000000000000001E-3</v>
      </c>
      <c r="BP22" s="9">
        <v>7.4999999999999997E-3</v>
      </c>
      <c r="BQ22" s="9">
        <v>3.0000000000000001E-3</v>
      </c>
      <c r="BR22" s="9">
        <v>4.4999999999999997E-3</v>
      </c>
      <c r="BS22" s="9">
        <v>7.4999999999999997E-3</v>
      </c>
      <c r="BT22" s="9">
        <v>4.4999999999999997E-3</v>
      </c>
      <c r="BU22" s="9">
        <v>8.9999999999999993E-3</v>
      </c>
      <c r="BV22" s="9">
        <v>8.9999999999999993E-3</v>
      </c>
      <c r="BW22" s="9">
        <v>4.4999999999999997E-3</v>
      </c>
      <c r="BX22" s="9">
        <v>7.4999999999999997E-3</v>
      </c>
      <c r="BY22" s="9">
        <v>4.4999999999999997E-3</v>
      </c>
      <c r="BZ22" s="9">
        <v>4.4999999999999997E-3</v>
      </c>
      <c r="CA22" s="9">
        <v>1.5E-3</v>
      </c>
      <c r="CB22" s="9">
        <v>7.4999999999999997E-3</v>
      </c>
      <c r="CC22" s="9">
        <v>3.0000000000000001E-3</v>
      </c>
      <c r="CD22" s="9">
        <v>3.0000000000000001E-3</v>
      </c>
      <c r="CE22" s="9">
        <v>7.4999999999999997E-3</v>
      </c>
      <c r="CF22" s="9">
        <v>8.9999999999999993E-3</v>
      </c>
      <c r="CG22" s="9">
        <v>3.0000000000000001E-3</v>
      </c>
      <c r="CH22" s="9">
        <v>8.9999999999999993E-3</v>
      </c>
      <c r="CI22" s="9">
        <v>1.0500000000000001E-2</v>
      </c>
      <c r="CJ22" s="9">
        <v>6.0000000000000001E-3</v>
      </c>
      <c r="CK22" s="9">
        <v>4.4999999999999997E-3</v>
      </c>
      <c r="CL22" s="9">
        <v>1.5E-3</v>
      </c>
      <c r="CM22" s="9">
        <v>3.0000000000000001E-3</v>
      </c>
      <c r="CN22" s="9">
        <v>3.0000000000000001E-3</v>
      </c>
      <c r="CO22" s="9">
        <v>1.5E-3</v>
      </c>
      <c r="CP22" s="9">
        <v>3.0000000000000001E-3</v>
      </c>
      <c r="CQ22" s="9">
        <v>4.4999999999999997E-3</v>
      </c>
      <c r="CR22" s="9">
        <v>3.0000000000000001E-3</v>
      </c>
      <c r="CS22" s="9">
        <v>7.4999999999999997E-3</v>
      </c>
      <c r="CT22" s="9">
        <v>4.4999999999999997E-3</v>
      </c>
      <c r="CU22" s="9">
        <v>3.0000000000000001E-3</v>
      </c>
      <c r="CV22" s="9">
        <v>3.0000000000000001E-3</v>
      </c>
      <c r="CW22" s="9">
        <v>8.9999999999999993E-3</v>
      </c>
      <c r="CX22" s="9">
        <v>3.0000000000000001E-3</v>
      </c>
      <c r="CY22" s="9">
        <v>4.4999999999999997E-3</v>
      </c>
    </row>
    <row r="23" spans="2:103" ht="15.75" customHeight="1">
      <c r="C23" s="8">
        <v>1000</v>
      </c>
      <c r="D23" s="9">
        <v>4.3499999999999997E-3</v>
      </c>
      <c r="E23" s="9">
        <v>6.1500000000000001E-3</v>
      </c>
      <c r="F23" s="9">
        <v>4.1999999999999997E-3</v>
      </c>
      <c r="G23" s="9">
        <v>3.7499999999999999E-3</v>
      </c>
      <c r="H23" s="9">
        <v>3.15E-3</v>
      </c>
      <c r="I23" s="9">
        <v>4.6499999999999996E-3</v>
      </c>
      <c r="J23" s="9">
        <v>3.3E-3</v>
      </c>
      <c r="K23" s="9">
        <v>4.7999999999999996E-3</v>
      </c>
      <c r="L23" s="9">
        <v>6.0000000000000001E-3</v>
      </c>
      <c r="M23" s="9">
        <v>4.7999999999999996E-3</v>
      </c>
      <c r="N23" s="9">
        <v>4.0499999999999998E-3</v>
      </c>
      <c r="O23" s="9">
        <v>5.2500000000000003E-3</v>
      </c>
      <c r="P23" s="9">
        <v>4.6499999999999996E-3</v>
      </c>
      <c r="Q23" s="9">
        <v>3.5999999999999999E-3</v>
      </c>
      <c r="R23" s="9">
        <v>5.4000000000000003E-3</v>
      </c>
      <c r="S23" s="9">
        <v>4.1999999999999997E-3</v>
      </c>
      <c r="T23" s="9">
        <v>4.1999999999999997E-3</v>
      </c>
      <c r="U23" s="9">
        <v>5.8500000000000002E-3</v>
      </c>
      <c r="V23" s="9">
        <v>3.7499999999999999E-3</v>
      </c>
      <c r="W23" s="9">
        <v>2.7000000000000001E-3</v>
      </c>
      <c r="X23" s="9">
        <v>3.4499999999999999E-3</v>
      </c>
      <c r="Y23" s="9">
        <v>6.8999999999999999E-3</v>
      </c>
      <c r="Z23" s="9">
        <v>4.3499999999999997E-3</v>
      </c>
      <c r="AA23" s="9">
        <v>5.1000000000000004E-3</v>
      </c>
      <c r="AB23" s="9">
        <v>3.3E-3</v>
      </c>
      <c r="AC23" s="9">
        <v>3.7499999999999999E-3</v>
      </c>
      <c r="AD23" s="9">
        <v>6.0000000000000001E-3</v>
      </c>
      <c r="AE23" s="9">
        <v>4.7999999999999996E-3</v>
      </c>
      <c r="AF23" s="9">
        <v>5.1000000000000004E-3</v>
      </c>
      <c r="AG23" s="9">
        <v>5.5500000000000002E-3</v>
      </c>
      <c r="AH23" s="9">
        <v>4.9500000000000004E-3</v>
      </c>
      <c r="AI23" s="9">
        <v>5.2500000000000003E-3</v>
      </c>
      <c r="AJ23" s="9">
        <v>4.6499999999999996E-3</v>
      </c>
      <c r="AK23" s="9">
        <v>4.4999999999999997E-3</v>
      </c>
      <c r="AL23" s="9">
        <v>4.3499999999999997E-3</v>
      </c>
      <c r="AM23" s="9">
        <v>4.3499999999999997E-3</v>
      </c>
      <c r="AN23" s="9">
        <v>4.6499999999999996E-3</v>
      </c>
      <c r="AO23" s="9">
        <v>4.7999999999999996E-3</v>
      </c>
      <c r="AP23" s="9">
        <v>5.1000000000000004E-3</v>
      </c>
      <c r="AQ23" s="9">
        <v>5.8500000000000002E-3</v>
      </c>
      <c r="AR23" s="9">
        <v>5.1000000000000004E-3</v>
      </c>
      <c r="AS23" s="9">
        <v>4.0499999999999998E-3</v>
      </c>
      <c r="AT23" s="9">
        <v>4.7999999999999996E-3</v>
      </c>
      <c r="AU23" s="9">
        <v>5.1000000000000004E-3</v>
      </c>
      <c r="AV23" s="9">
        <v>5.1000000000000004E-3</v>
      </c>
      <c r="AW23" s="9">
        <v>4.1999999999999997E-3</v>
      </c>
      <c r="AX23" s="9">
        <v>4.6499999999999996E-3</v>
      </c>
      <c r="AY23" s="9">
        <v>3.15E-3</v>
      </c>
      <c r="AZ23" s="9">
        <v>3.7499999999999999E-3</v>
      </c>
      <c r="BA23" s="9">
        <v>4.3499999999999997E-3</v>
      </c>
      <c r="BB23" s="9">
        <v>5.5500000000000002E-3</v>
      </c>
      <c r="BC23" s="9">
        <v>5.7000000000000002E-3</v>
      </c>
      <c r="BD23" s="9">
        <v>5.1000000000000004E-3</v>
      </c>
      <c r="BE23" s="9">
        <v>4.4999999999999997E-3</v>
      </c>
      <c r="BF23" s="9">
        <v>5.1000000000000004E-3</v>
      </c>
      <c r="BG23" s="9">
        <v>3.8999999999999998E-3</v>
      </c>
      <c r="BH23" s="9">
        <v>4.4999999999999997E-3</v>
      </c>
      <c r="BI23" s="9">
        <v>3.8999999999999998E-3</v>
      </c>
      <c r="BJ23" s="9">
        <v>2.7000000000000001E-3</v>
      </c>
      <c r="BK23" s="9">
        <v>4.0499999999999998E-3</v>
      </c>
      <c r="BL23" s="9">
        <v>5.2500000000000003E-3</v>
      </c>
      <c r="BM23" s="9">
        <v>4.6499999999999996E-3</v>
      </c>
      <c r="BN23" s="9">
        <v>3.7499999999999999E-3</v>
      </c>
      <c r="BO23" s="9">
        <v>4.6499999999999996E-3</v>
      </c>
      <c r="BP23" s="9">
        <v>4.9500000000000004E-3</v>
      </c>
      <c r="BQ23" s="9">
        <v>3.5999999999999999E-3</v>
      </c>
      <c r="BR23" s="9">
        <v>3.5999999999999999E-3</v>
      </c>
      <c r="BS23" s="9">
        <v>3.4499999999999999E-3</v>
      </c>
      <c r="BT23" s="9">
        <v>4.3499999999999997E-3</v>
      </c>
      <c r="BU23" s="9">
        <v>4.4999999999999997E-3</v>
      </c>
      <c r="BV23" s="9">
        <v>4.0499999999999998E-3</v>
      </c>
      <c r="BW23" s="9">
        <v>2.8500000000000001E-3</v>
      </c>
      <c r="BX23" s="9">
        <v>3.5999999999999999E-3</v>
      </c>
      <c r="BY23" s="9">
        <v>4.3499999999999997E-3</v>
      </c>
      <c r="BZ23" s="9">
        <v>5.2500000000000003E-3</v>
      </c>
      <c r="CA23" s="9">
        <v>5.5500000000000002E-3</v>
      </c>
      <c r="CB23" s="9">
        <v>4.4999999999999997E-3</v>
      </c>
      <c r="CC23" s="9">
        <v>4.4999999999999997E-3</v>
      </c>
      <c r="CD23" s="9">
        <v>4.9500000000000004E-3</v>
      </c>
      <c r="CE23" s="9">
        <v>5.5500000000000002E-3</v>
      </c>
      <c r="CF23" s="9">
        <v>5.1000000000000004E-3</v>
      </c>
      <c r="CG23" s="9">
        <v>5.1000000000000004E-3</v>
      </c>
      <c r="CH23" s="9">
        <v>4.0499999999999998E-3</v>
      </c>
      <c r="CI23" s="9">
        <v>4.9500000000000004E-3</v>
      </c>
      <c r="CJ23" s="9">
        <v>5.1000000000000004E-3</v>
      </c>
      <c r="CK23" s="9">
        <v>3.5999999999999999E-3</v>
      </c>
      <c r="CL23" s="9">
        <v>4.6499999999999996E-3</v>
      </c>
      <c r="CM23" s="9">
        <v>3.4499999999999999E-3</v>
      </c>
      <c r="CN23" s="9">
        <v>5.1000000000000004E-3</v>
      </c>
      <c r="CO23" s="9">
        <v>4.0499999999999998E-3</v>
      </c>
      <c r="CP23" s="9">
        <v>6.3E-3</v>
      </c>
      <c r="CQ23" s="9">
        <v>5.7000000000000002E-3</v>
      </c>
      <c r="CR23" s="9">
        <v>5.8500000000000002E-3</v>
      </c>
      <c r="CS23" s="9">
        <v>2.3999999999999998E-3</v>
      </c>
      <c r="CT23" s="9">
        <v>6.0000000000000001E-3</v>
      </c>
      <c r="CU23" s="9">
        <v>4.9500000000000004E-3</v>
      </c>
      <c r="CV23" s="9">
        <v>4.7999999999999996E-3</v>
      </c>
      <c r="CW23" s="9">
        <v>4.7999999999999996E-3</v>
      </c>
      <c r="CX23" s="9">
        <v>4.0499999999999998E-3</v>
      </c>
      <c r="CY23" s="9">
        <v>4.4999999999999997E-3</v>
      </c>
    </row>
    <row r="24" spans="2:103" ht="15.75" customHeight="1">
      <c r="C24" s="8">
        <v>10000</v>
      </c>
      <c r="D24" s="9">
        <v>5.1599999999999997E-3</v>
      </c>
      <c r="E24" s="9">
        <v>4.8900000000000002E-3</v>
      </c>
      <c r="F24" s="9">
        <v>4.6649999999999999E-3</v>
      </c>
      <c r="G24" s="9">
        <v>4.5300000000000002E-3</v>
      </c>
      <c r="H24" s="9">
        <v>4.7699999999999999E-3</v>
      </c>
      <c r="I24" s="9">
        <v>4.4999999999999997E-3</v>
      </c>
      <c r="J24" s="9">
        <v>4.6350000000000002E-3</v>
      </c>
      <c r="K24" s="9">
        <v>4.8149999999999998E-3</v>
      </c>
      <c r="L24" s="9">
        <v>4.4099999999999999E-3</v>
      </c>
      <c r="M24" s="9">
        <v>4.7099999999999998E-3</v>
      </c>
      <c r="N24" s="9">
        <v>4.7999999999999996E-3</v>
      </c>
      <c r="O24" s="9">
        <v>4.4250000000000001E-3</v>
      </c>
      <c r="P24" s="9">
        <v>4.5599999999999998E-3</v>
      </c>
      <c r="Q24" s="9">
        <v>4.4400000000000004E-3</v>
      </c>
      <c r="R24" s="9">
        <v>4.7699999999999999E-3</v>
      </c>
      <c r="S24" s="9">
        <v>4.8149999999999998E-3</v>
      </c>
      <c r="T24" s="9">
        <v>4.7699999999999999E-3</v>
      </c>
      <c r="U24" s="9">
        <v>4.5300000000000002E-3</v>
      </c>
      <c r="V24" s="9">
        <v>4.2599999999999999E-3</v>
      </c>
      <c r="W24" s="9">
        <v>4.9049999999999996E-3</v>
      </c>
      <c r="X24" s="9">
        <v>4.6950000000000004E-3</v>
      </c>
      <c r="Y24" s="9">
        <v>4.3800000000000002E-3</v>
      </c>
      <c r="Z24" s="9">
        <v>4.47E-3</v>
      </c>
      <c r="AA24" s="9">
        <v>4.5750000000000001E-3</v>
      </c>
      <c r="AB24" s="9">
        <v>4.8900000000000002E-3</v>
      </c>
      <c r="AC24" s="9">
        <v>4.365E-3</v>
      </c>
      <c r="AD24" s="9">
        <v>4.875E-3</v>
      </c>
      <c r="AE24" s="9">
        <v>4.6649999999999999E-3</v>
      </c>
      <c r="AF24" s="9">
        <v>4.7099999999999998E-3</v>
      </c>
      <c r="AG24" s="9">
        <v>4.5300000000000002E-3</v>
      </c>
      <c r="AH24" s="9">
        <v>4.3350000000000003E-3</v>
      </c>
      <c r="AI24" s="9">
        <v>4.7549999999999997E-3</v>
      </c>
      <c r="AJ24" s="9">
        <v>4.725E-3</v>
      </c>
      <c r="AK24" s="9">
        <v>4.8149999999999998E-3</v>
      </c>
      <c r="AL24" s="9">
        <v>5.0699999999999999E-3</v>
      </c>
      <c r="AM24" s="9">
        <v>5.0699999999999999E-3</v>
      </c>
      <c r="AN24" s="9">
        <v>4.5750000000000001E-3</v>
      </c>
      <c r="AO24" s="9">
        <v>4.6350000000000002E-3</v>
      </c>
      <c r="AP24" s="9">
        <v>4.5900000000000003E-3</v>
      </c>
      <c r="AQ24" s="9">
        <v>4.8300000000000001E-3</v>
      </c>
      <c r="AR24" s="9">
        <v>4.1700000000000001E-3</v>
      </c>
      <c r="AS24" s="9">
        <v>4.8450000000000003E-3</v>
      </c>
      <c r="AT24" s="9">
        <v>4.7850000000000002E-3</v>
      </c>
      <c r="AU24" s="9">
        <v>5.4149999999999997E-3</v>
      </c>
      <c r="AV24" s="9">
        <v>4.3049999999999998E-3</v>
      </c>
      <c r="AW24" s="9">
        <v>4.7549999999999997E-3</v>
      </c>
      <c r="AX24" s="9">
        <v>4.6649999999999999E-3</v>
      </c>
      <c r="AY24" s="9">
        <v>4.6950000000000004E-3</v>
      </c>
      <c r="AZ24" s="9">
        <v>4.725E-3</v>
      </c>
      <c r="BA24" s="9">
        <v>4.9049999999999996E-3</v>
      </c>
      <c r="BB24" s="9">
        <v>5.0699999999999999E-3</v>
      </c>
      <c r="BC24" s="9">
        <v>4.6649999999999999E-3</v>
      </c>
      <c r="BD24" s="9">
        <v>4.4549999999999998E-3</v>
      </c>
      <c r="BE24" s="9">
        <v>4.1700000000000001E-3</v>
      </c>
      <c r="BF24" s="9">
        <v>5.13E-3</v>
      </c>
      <c r="BG24" s="9">
        <v>4.8599999999999997E-3</v>
      </c>
      <c r="BH24" s="9">
        <v>4.7999999999999996E-3</v>
      </c>
      <c r="BI24" s="9">
        <v>4.9500000000000004E-3</v>
      </c>
      <c r="BJ24" s="9">
        <v>4.7850000000000002E-3</v>
      </c>
      <c r="BK24" s="9">
        <v>4.5300000000000002E-3</v>
      </c>
      <c r="BL24" s="9">
        <v>4.3049999999999998E-3</v>
      </c>
      <c r="BM24" s="9">
        <v>4.8900000000000002E-3</v>
      </c>
      <c r="BN24" s="9">
        <v>5.025E-3</v>
      </c>
      <c r="BO24" s="9">
        <v>4.3200000000000001E-3</v>
      </c>
      <c r="BP24" s="9">
        <v>4.5300000000000002E-3</v>
      </c>
      <c r="BQ24" s="9">
        <v>4.7699999999999999E-3</v>
      </c>
      <c r="BR24" s="9">
        <v>4.7699999999999999E-3</v>
      </c>
      <c r="BS24" s="9">
        <v>4.9199999999999999E-3</v>
      </c>
      <c r="BT24" s="9">
        <v>4.7099999999999998E-3</v>
      </c>
      <c r="BU24" s="9">
        <v>4.6499999999999996E-3</v>
      </c>
      <c r="BV24" s="9">
        <v>4.7549999999999997E-3</v>
      </c>
      <c r="BW24" s="9">
        <v>4.47E-3</v>
      </c>
      <c r="BX24" s="9">
        <v>4.62E-3</v>
      </c>
      <c r="BY24" s="9">
        <v>4.7400000000000003E-3</v>
      </c>
      <c r="BZ24" s="9">
        <v>4.5300000000000002E-3</v>
      </c>
      <c r="CA24" s="9">
        <v>4.2599999999999999E-3</v>
      </c>
      <c r="CB24" s="9">
        <v>4.9350000000000002E-3</v>
      </c>
      <c r="CC24" s="9">
        <v>4.3499999999999997E-3</v>
      </c>
      <c r="CD24" s="9">
        <v>4.365E-3</v>
      </c>
      <c r="CE24" s="9">
        <v>4.3350000000000003E-3</v>
      </c>
      <c r="CF24" s="9">
        <v>4.4549999999999998E-3</v>
      </c>
      <c r="CG24" s="9">
        <v>4.7549999999999997E-3</v>
      </c>
      <c r="CH24" s="9">
        <v>4.9500000000000004E-3</v>
      </c>
      <c r="CI24" s="9">
        <v>4.6049999999999997E-3</v>
      </c>
      <c r="CJ24" s="9">
        <v>4.7400000000000003E-3</v>
      </c>
      <c r="CK24" s="9">
        <v>4.7699999999999999E-3</v>
      </c>
      <c r="CL24" s="9">
        <v>4.5300000000000002E-3</v>
      </c>
      <c r="CM24" s="9">
        <v>4.8900000000000002E-3</v>
      </c>
      <c r="CN24" s="9">
        <v>5.0699999999999999E-3</v>
      </c>
      <c r="CO24" s="9">
        <v>4.7699999999999999E-3</v>
      </c>
      <c r="CP24" s="9">
        <v>5.025E-3</v>
      </c>
      <c r="CQ24" s="9">
        <v>4.9649999999999998E-3</v>
      </c>
      <c r="CR24" s="9">
        <v>4.725E-3</v>
      </c>
      <c r="CS24" s="9">
        <v>4.5750000000000001E-3</v>
      </c>
      <c r="CT24" s="9">
        <v>4.62E-3</v>
      </c>
      <c r="CU24" s="9">
        <v>4.875E-3</v>
      </c>
      <c r="CV24" s="9">
        <v>4.5750000000000001E-3</v>
      </c>
      <c r="CW24" s="9">
        <v>4.1250000000000002E-3</v>
      </c>
      <c r="CX24" s="9">
        <v>4.6649999999999999E-3</v>
      </c>
      <c r="CY24" s="9">
        <v>4.1399999999999996E-3</v>
      </c>
    </row>
    <row r="25" spans="2:103" ht="15.75" customHeight="1">
      <c r="C25" s="8">
        <v>100000</v>
      </c>
      <c r="D25" s="9">
        <v>4.6769999999999997E-3</v>
      </c>
      <c r="E25" s="9">
        <v>4.614E-3</v>
      </c>
      <c r="F25" s="9">
        <v>4.4879999999999998E-3</v>
      </c>
      <c r="G25" s="9">
        <v>4.5285000000000004E-3</v>
      </c>
      <c r="H25" s="9">
        <v>4.7130000000000002E-3</v>
      </c>
      <c r="I25" s="9">
        <v>4.5869999999999999E-3</v>
      </c>
      <c r="J25" s="9">
        <v>4.5044999999999998E-3</v>
      </c>
      <c r="K25" s="9">
        <v>4.7865E-3</v>
      </c>
      <c r="L25" s="9">
        <v>4.6274999999999997E-3</v>
      </c>
      <c r="M25" s="9">
        <v>4.6305000000000001E-3</v>
      </c>
      <c r="N25" s="9">
        <v>4.6695E-3</v>
      </c>
      <c r="O25" s="9">
        <v>4.5450000000000004E-3</v>
      </c>
      <c r="P25" s="9">
        <v>4.7745000000000001E-3</v>
      </c>
      <c r="Q25" s="9">
        <v>4.6814999999999999E-3</v>
      </c>
      <c r="R25" s="9">
        <v>4.6544999999999998E-3</v>
      </c>
      <c r="S25" s="9">
        <v>4.6560000000000004E-3</v>
      </c>
      <c r="T25" s="9">
        <v>4.5360000000000001E-3</v>
      </c>
      <c r="U25" s="9">
        <v>4.7159999999999997E-3</v>
      </c>
      <c r="V25" s="9">
        <v>4.5360000000000001E-3</v>
      </c>
      <c r="W25" s="9">
        <v>4.6740000000000002E-3</v>
      </c>
      <c r="X25" s="9">
        <v>4.5929999999999999E-3</v>
      </c>
      <c r="Y25" s="9">
        <v>4.6814999999999999E-3</v>
      </c>
      <c r="Z25" s="9">
        <v>4.7070000000000002E-3</v>
      </c>
      <c r="AA25" s="9">
        <v>4.6035E-3</v>
      </c>
      <c r="AB25" s="9">
        <v>4.6424999999999999E-3</v>
      </c>
      <c r="AC25" s="9">
        <v>4.6800000000000001E-3</v>
      </c>
      <c r="AD25" s="9">
        <v>4.5525000000000001E-3</v>
      </c>
      <c r="AE25" s="9">
        <v>4.6080000000000001E-3</v>
      </c>
      <c r="AF25" s="9">
        <v>4.6379999999999998E-3</v>
      </c>
      <c r="AG25" s="9">
        <v>4.5209999999999998E-3</v>
      </c>
      <c r="AH25" s="9">
        <v>4.6800000000000001E-3</v>
      </c>
      <c r="AI25" s="9">
        <v>4.5224999999999996E-3</v>
      </c>
      <c r="AJ25" s="9">
        <v>4.7144999999999999E-3</v>
      </c>
      <c r="AK25" s="9">
        <v>4.7609999999999996E-3</v>
      </c>
      <c r="AL25" s="9">
        <v>4.6154999999999998E-3</v>
      </c>
      <c r="AM25" s="9">
        <v>4.6214999999999997E-3</v>
      </c>
      <c r="AN25" s="9">
        <v>4.6455000000000003E-3</v>
      </c>
      <c r="AO25" s="9">
        <v>4.6814999999999999E-3</v>
      </c>
      <c r="AP25" s="9">
        <v>4.5585000000000001E-3</v>
      </c>
      <c r="AQ25" s="9">
        <v>4.5554999999999997E-3</v>
      </c>
      <c r="AR25" s="9">
        <v>4.7520000000000001E-3</v>
      </c>
      <c r="AS25" s="9">
        <v>4.6305000000000001E-3</v>
      </c>
      <c r="AT25" s="9">
        <v>4.6080000000000001E-3</v>
      </c>
      <c r="AU25" s="9">
        <v>4.5389999999999996E-3</v>
      </c>
      <c r="AV25" s="9">
        <v>4.7505000000000004E-3</v>
      </c>
      <c r="AW25" s="9">
        <v>4.7039999999999998E-3</v>
      </c>
      <c r="AX25" s="9">
        <v>4.5539999999999999E-3</v>
      </c>
      <c r="AY25" s="9">
        <v>4.6484999999999999E-3</v>
      </c>
      <c r="AZ25" s="9">
        <v>4.7654999999999998E-3</v>
      </c>
      <c r="BA25" s="9">
        <v>4.8195E-3</v>
      </c>
      <c r="BB25" s="9">
        <v>4.5525000000000001E-3</v>
      </c>
      <c r="BC25" s="9">
        <v>4.7264999999999998E-3</v>
      </c>
      <c r="BD25" s="9">
        <v>4.6934999999999998E-3</v>
      </c>
      <c r="BE25" s="9">
        <v>4.7099999999999998E-3</v>
      </c>
      <c r="BF25" s="9">
        <v>4.7774999999999996E-3</v>
      </c>
      <c r="BG25" s="9">
        <v>4.6169999999999996E-3</v>
      </c>
      <c r="BH25" s="9">
        <v>4.6860000000000001E-3</v>
      </c>
      <c r="BI25" s="9">
        <v>4.7324999999999997E-3</v>
      </c>
      <c r="BJ25" s="9">
        <v>4.6125000000000003E-3</v>
      </c>
      <c r="BK25" s="9">
        <v>4.6905000000000002E-3</v>
      </c>
      <c r="BL25" s="9">
        <v>4.7609999999999996E-3</v>
      </c>
      <c r="BM25" s="9">
        <v>4.6035E-3</v>
      </c>
      <c r="BN25" s="9">
        <v>4.7280000000000004E-3</v>
      </c>
      <c r="BO25" s="9">
        <v>4.6800000000000001E-3</v>
      </c>
      <c r="BP25" s="9">
        <v>4.6334999999999996E-3</v>
      </c>
      <c r="BQ25" s="9">
        <v>4.7204999999999999E-3</v>
      </c>
      <c r="BR25" s="9">
        <v>4.6379999999999998E-3</v>
      </c>
      <c r="BS25" s="9">
        <v>4.7175000000000003E-3</v>
      </c>
      <c r="BT25" s="9">
        <v>4.6169999999999996E-3</v>
      </c>
      <c r="BU25" s="9">
        <v>4.7340000000000004E-3</v>
      </c>
      <c r="BV25" s="9">
        <v>4.7835000000000004E-3</v>
      </c>
      <c r="BW25" s="9">
        <v>4.5300000000000002E-3</v>
      </c>
      <c r="BX25" s="9">
        <v>4.5510000000000004E-3</v>
      </c>
      <c r="BY25" s="9">
        <v>4.7025000000000001E-3</v>
      </c>
      <c r="BZ25" s="9">
        <v>4.6620000000000003E-3</v>
      </c>
      <c r="CA25" s="9">
        <v>4.5525000000000001E-3</v>
      </c>
      <c r="CB25" s="9">
        <v>4.5015000000000003E-3</v>
      </c>
      <c r="CC25" s="9">
        <v>4.4925E-3</v>
      </c>
      <c r="CD25" s="9">
        <v>4.6424999999999999E-3</v>
      </c>
      <c r="CE25" s="9">
        <v>4.6049999999999997E-3</v>
      </c>
      <c r="CF25" s="9">
        <v>4.5135000000000002E-3</v>
      </c>
      <c r="CG25" s="9">
        <v>4.5374999999999999E-3</v>
      </c>
      <c r="CH25" s="9">
        <v>4.6994999999999997E-3</v>
      </c>
      <c r="CI25" s="9">
        <v>4.7850000000000002E-3</v>
      </c>
      <c r="CJ25" s="9">
        <v>4.6905000000000002E-3</v>
      </c>
      <c r="CK25" s="9">
        <v>4.6094999999999999E-3</v>
      </c>
      <c r="CL25" s="9">
        <v>4.3965000000000002E-3</v>
      </c>
      <c r="CM25" s="9">
        <v>4.7400000000000003E-3</v>
      </c>
      <c r="CN25" s="9">
        <v>4.5554999999999997E-3</v>
      </c>
      <c r="CO25" s="9">
        <v>4.5570000000000003E-3</v>
      </c>
      <c r="CP25" s="9">
        <v>4.7475E-3</v>
      </c>
      <c r="CQ25" s="9">
        <v>4.6109999999999996E-3</v>
      </c>
      <c r="CR25" s="9">
        <v>4.6965000000000002E-3</v>
      </c>
      <c r="CS25" s="9">
        <v>4.6020000000000002E-3</v>
      </c>
      <c r="CT25" s="9">
        <v>4.6020000000000002E-3</v>
      </c>
      <c r="CU25" s="9">
        <v>4.5570000000000003E-3</v>
      </c>
      <c r="CV25" s="9">
        <v>4.6424999999999999E-3</v>
      </c>
      <c r="CW25" s="9">
        <v>4.5075000000000002E-3</v>
      </c>
      <c r="CX25" s="9">
        <v>4.6470000000000001E-3</v>
      </c>
      <c r="CY25" s="9">
        <v>4.6290000000000003E-3</v>
      </c>
    </row>
    <row r="26" spans="2:103" ht="15.75" customHeight="1">
      <c r="C26" s="8">
        <v>1000000</v>
      </c>
      <c r="D26" s="9">
        <v>4.6222499999999996E-3</v>
      </c>
      <c r="E26" s="9">
        <v>4.6345500000000003E-3</v>
      </c>
      <c r="F26" s="9">
        <v>4.6927499999999999E-3</v>
      </c>
      <c r="G26" s="9">
        <v>4.6527000000000001E-3</v>
      </c>
      <c r="H26" s="9">
        <v>4.6114499999999996E-3</v>
      </c>
      <c r="I26" s="9">
        <v>4.6652999999999998E-3</v>
      </c>
      <c r="J26" s="9">
        <v>4.6319999999999998E-3</v>
      </c>
      <c r="K26" s="9">
        <v>4.5985499999999999E-3</v>
      </c>
      <c r="L26" s="9">
        <v>4.6445999999999996E-3</v>
      </c>
      <c r="M26" s="9">
        <v>4.6342500000000003E-3</v>
      </c>
      <c r="N26" s="9">
        <v>4.6379999999999998E-3</v>
      </c>
      <c r="O26" s="9">
        <v>4.6054499999999996E-3</v>
      </c>
      <c r="P26" s="9">
        <v>4.61415E-3</v>
      </c>
      <c r="Q26" s="9">
        <v>4.6483499999999999E-3</v>
      </c>
      <c r="R26" s="9">
        <v>4.6444499999999996E-3</v>
      </c>
      <c r="S26" s="9">
        <v>4.6302000000000001E-3</v>
      </c>
      <c r="T26" s="9">
        <v>4.6465500000000002E-3</v>
      </c>
      <c r="U26" s="9">
        <v>4.6154999999999998E-3</v>
      </c>
      <c r="V26" s="9">
        <v>4.6177500000000003E-3</v>
      </c>
      <c r="W26" s="9">
        <v>4.6362E-3</v>
      </c>
      <c r="X26" s="9">
        <v>4.6341000000000004E-3</v>
      </c>
      <c r="Y26" s="9">
        <v>4.6330499999999997E-3</v>
      </c>
      <c r="Z26" s="9">
        <v>4.61415E-3</v>
      </c>
      <c r="AA26" s="9">
        <v>4.6684500000000002E-3</v>
      </c>
      <c r="AB26" s="9">
        <v>4.6146E-3</v>
      </c>
      <c r="AC26" s="9">
        <v>4.6027500000000001E-3</v>
      </c>
      <c r="AD26" s="9">
        <v>4.6433999999999998E-3</v>
      </c>
      <c r="AE26" s="9">
        <v>4.6550999999999997E-3</v>
      </c>
      <c r="AF26" s="9">
        <v>4.6507500000000004E-3</v>
      </c>
      <c r="AG26" s="9">
        <v>4.6413000000000001E-3</v>
      </c>
      <c r="AH26" s="9">
        <v>4.6021500000000002E-3</v>
      </c>
      <c r="AI26" s="9">
        <v>4.6197E-3</v>
      </c>
      <c r="AJ26" s="9">
        <v>4.6114499999999996E-3</v>
      </c>
      <c r="AK26" s="9">
        <v>4.6537499999999999E-3</v>
      </c>
      <c r="AL26" s="9">
        <v>4.5653999999999998E-3</v>
      </c>
      <c r="AM26" s="9">
        <v>4.6478999999999999E-3</v>
      </c>
      <c r="AN26" s="9">
        <v>4.6462500000000002E-3</v>
      </c>
      <c r="AO26" s="9">
        <v>4.6524000000000001E-3</v>
      </c>
      <c r="AP26" s="9">
        <v>4.6597499999999998E-3</v>
      </c>
      <c r="AQ26" s="9">
        <v>4.6798500000000002E-3</v>
      </c>
      <c r="AR26" s="9">
        <v>4.63065E-3</v>
      </c>
      <c r="AS26" s="9">
        <v>4.6435499999999998E-3</v>
      </c>
      <c r="AT26" s="9">
        <v>4.6429499999999999E-3</v>
      </c>
      <c r="AU26" s="9">
        <v>4.6395000000000004E-3</v>
      </c>
      <c r="AV26" s="9">
        <v>4.60305E-3</v>
      </c>
      <c r="AW26" s="9">
        <v>4.6259999999999999E-3</v>
      </c>
      <c r="AX26" s="9">
        <v>4.6333499999999996E-3</v>
      </c>
      <c r="AY26" s="9">
        <v>4.6476E-3</v>
      </c>
      <c r="AZ26" s="9">
        <v>4.5814499999999999E-3</v>
      </c>
      <c r="BA26" s="9">
        <v>4.6132500000000002E-3</v>
      </c>
      <c r="BB26" s="9">
        <v>4.6327499999999997E-3</v>
      </c>
      <c r="BC26" s="9">
        <v>4.5947999999999996E-3</v>
      </c>
      <c r="BD26" s="9">
        <v>4.5970500000000001E-3</v>
      </c>
      <c r="BE26" s="9">
        <v>4.6359000000000001E-3</v>
      </c>
      <c r="BF26" s="9">
        <v>4.6480499999999999E-3</v>
      </c>
      <c r="BG26" s="9">
        <v>4.65315E-3</v>
      </c>
      <c r="BH26" s="9">
        <v>4.6410000000000002E-3</v>
      </c>
      <c r="BI26" s="9">
        <v>4.5875999999999998E-3</v>
      </c>
      <c r="BJ26" s="9">
        <v>4.6234500000000003E-3</v>
      </c>
      <c r="BK26" s="9">
        <v>4.6086E-3</v>
      </c>
      <c r="BL26" s="9">
        <v>4.6128000000000002E-3</v>
      </c>
      <c r="BM26" s="9">
        <v>4.6313999999999999E-3</v>
      </c>
      <c r="BN26" s="9">
        <v>4.6021500000000002E-3</v>
      </c>
      <c r="BO26" s="9">
        <v>4.6484999999999999E-3</v>
      </c>
      <c r="BP26" s="9">
        <v>4.6225499999999996E-3</v>
      </c>
      <c r="BQ26" s="9">
        <v>4.6271999999999997E-3</v>
      </c>
      <c r="BR26" s="9">
        <v>4.6879499999999998E-3</v>
      </c>
      <c r="BS26" s="9">
        <v>4.6384499999999997E-3</v>
      </c>
      <c r="BT26" s="9">
        <v>4.6318499999999999E-3</v>
      </c>
      <c r="BU26" s="9">
        <v>4.6316999999999999E-3</v>
      </c>
      <c r="BV26" s="9">
        <v>4.6376999999999998E-3</v>
      </c>
      <c r="BW26" s="9">
        <v>4.6297500000000002E-3</v>
      </c>
      <c r="BX26" s="9">
        <v>4.6156499999999998E-3</v>
      </c>
      <c r="BY26" s="9">
        <v>4.6677000000000003E-3</v>
      </c>
      <c r="BZ26" s="9">
        <v>4.6330499999999997E-3</v>
      </c>
      <c r="CA26" s="9">
        <v>4.5761999999999999E-3</v>
      </c>
      <c r="CB26" s="9">
        <v>4.6357500000000001E-3</v>
      </c>
      <c r="CC26" s="9">
        <v>4.62015E-3</v>
      </c>
      <c r="CD26" s="9">
        <v>4.6264499999999998E-3</v>
      </c>
      <c r="CE26" s="9">
        <v>4.5949500000000004E-3</v>
      </c>
      <c r="CF26" s="9">
        <v>4.6449000000000004E-3</v>
      </c>
      <c r="CG26" s="9">
        <v>4.6373999999999999E-3</v>
      </c>
      <c r="CH26" s="9">
        <v>4.6382999999999997E-3</v>
      </c>
      <c r="CI26" s="9">
        <v>4.6005000000000004E-3</v>
      </c>
      <c r="CJ26" s="9">
        <v>4.6143E-3</v>
      </c>
      <c r="CK26" s="9">
        <v>4.6527000000000001E-3</v>
      </c>
      <c r="CL26" s="9">
        <v>4.6655999999999998E-3</v>
      </c>
      <c r="CM26" s="9">
        <v>4.6108499999999997E-3</v>
      </c>
      <c r="CN26" s="9">
        <v>4.5952500000000004E-3</v>
      </c>
      <c r="CO26" s="9">
        <v>4.6185000000000002E-3</v>
      </c>
      <c r="CP26" s="9">
        <v>4.6839000000000004E-3</v>
      </c>
      <c r="CQ26" s="9">
        <v>4.6080000000000001E-3</v>
      </c>
      <c r="CR26" s="9">
        <v>4.6094999999999999E-3</v>
      </c>
      <c r="CS26" s="9">
        <v>4.6589999999999999E-3</v>
      </c>
      <c r="CT26" s="9">
        <v>4.6062000000000004E-3</v>
      </c>
      <c r="CU26" s="9">
        <v>4.5846000000000003E-3</v>
      </c>
      <c r="CV26" s="9">
        <v>4.6214999999999997E-3</v>
      </c>
      <c r="CW26" s="9">
        <v>4.6159499999999997E-3</v>
      </c>
      <c r="CX26" s="9">
        <v>4.6277999999999996E-3</v>
      </c>
      <c r="CY26" s="9">
        <v>4.6635000000000001E-3</v>
      </c>
    </row>
    <row r="28" spans="2:103" ht="15.75" customHeight="1">
      <c r="B28" s="6"/>
    </row>
    <row r="29" spans="2:103" ht="15.75" customHeight="1">
      <c r="C29" s="1" t="s">
        <v>17</v>
      </c>
      <c r="D29" s="1" t="s">
        <v>18</v>
      </c>
      <c r="E29" s="1" t="s">
        <v>19</v>
      </c>
    </row>
    <row r="30" spans="2:103" ht="15.75" customHeight="1">
      <c r="C30" s="8">
        <v>10</v>
      </c>
      <c r="D30">
        <f>AVERAGE(D21:CY21)</f>
        <v>4.3500000000000014E-3</v>
      </c>
      <c r="E30">
        <f>_xlfn.VAR.S(D21:CY21)</f>
        <v>6.4977272727272743E-5</v>
      </c>
    </row>
    <row r="31" spans="2:103" ht="15.75" customHeight="1">
      <c r="C31" s="8">
        <v>100</v>
      </c>
      <c r="D31">
        <f t="shared" ref="D30:D35" si="0">AVERAGE(D22:CY22)</f>
        <v>5.0700000000000025E-3</v>
      </c>
      <c r="E31">
        <f>_xlfn.VAR.S(D22:CY22)</f>
        <v>8.1718181818181271E-6</v>
      </c>
    </row>
    <row r="32" spans="2:103" ht="15.75" customHeight="1">
      <c r="C32" s="8">
        <v>1000</v>
      </c>
      <c r="D32">
        <f t="shared" si="0"/>
        <v>4.5719999999999988E-3</v>
      </c>
      <c r="E32" t="e">
        <f t="shared" ref="E30:E35" ca="1" si="1">_xludf.VAR.S(D23:CY23)</f>
        <v>#NAME?</v>
      </c>
    </row>
    <row r="33" spans="2:103" ht="15.75" customHeight="1">
      <c r="C33" s="8">
        <v>10000</v>
      </c>
      <c r="D33">
        <f t="shared" si="0"/>
        <v>4.6766999999999998E-3</v>
      </c>
      <c r="E33" t="e">
        <f t="shared" ca="1" si="1"/>
        <v>#NAME?</v>
      </c>
    </row>
    <row r="34" spans="2:103" ht="15.75" customHeight="1">
      <c r="C34" s="8">
        <v>100000</v>
      </c>
      <c r="D34">
        <f t="shared" si="0"/>
        <v>4.6393499999999996E-3</v>
      </c>
      <c r="E34" t="e">
        <f t="shared" ca="1" si="1"/>
        <v>#NAME?</v>
      </c>
    </row>
    <row r="35" spans="2:103" ht="15.75" customHeight="1">
      <c r="C35" s="8">
        <v>1000000</v>
      </c>
      <c r="D35">
        <f t="shared" si="0"/>
        <v>4.6299510000000019E-3</v>
      </c>
      <c r="E35">
        <f>_xlfn.VAR.S(D26:CY26)</f>
        <v>5.8889782727272736E-10</v>
      </c>
    </row>
    <row r="36" spans="2:103" ht="15.75" customHeight="1">
      <c r="C36" s="8"/>
    </row>
    <row r="37" spans="2:103" ht="15.75" customHeight="1">
      <c r="C37" s="8"/>
    </row>
    <row r="38" spans="2:103" ht="15.75" customHeight="1">
      <c r="L38" s="10"/>
    </row>
    <row r="39" spans="2:103" ht="15.75" customHeight="1">
      <c r="B39" s="5" t="s">
        <v>20</v>
      </c>
    </row>
    <row r="40" spans="2:103" ht="15.75" customHeight="1">
      <c r="B40" s="6" t="s">
        <v>21</v>
      </c>
      <c r="C40" s="7" t="s">
        <v>16</v>
      </c>
      <c r="D40" s="1">
        <v>1</v>
      </c>
      <c r="E40" s="1">
        <v>2</v>
      </c>
      <c r="F40" s="1">
        <v>3</v>
      </c>
      <c r="G40" s="1">
        <v>4</v>
      </c>
      <c r="H40" s="1">
        <v>5</v>
      </c>
      <c r="I40" s="1">
        <v>6</v>
      </c>
      <c r="J40" s="1">
        <v>7</v>
      </c>
      <c r="K40" s="1">
        <v>8</v>
      </c>
      <c r="L40" s="1">
        <v>9</v>
      </c>
      <c r="M40" s="1">
        <v>10</v>
      </c>
      <c r="N40" s="1">
        <v>11</v>
      </c>
      <c r="O40" s="1">
        <v>12</v>
      </c>
      <c r="P40" s="1">
        <v>13</v>
      </c>
      <c r="Q40" s="1">
        <v>14</v>
      </c>
      <c r="R40" s="1">
        <v>15</v>
      </c>
      <c r="S40" s="1">
        <v>16</v>
      </c>
      <c r="T40" s="1">
        <v>17</v>
      </c>
      <c r="U40" s="1">
        <v>18</v>
      </c>
      <c r="V40" s="1">
        <v>19</v>
      </c>
      <c r="W40" s="1">
        <v>20</v>
      </c>
      <c r="X40" s="1">
        <v>21</v>
      </c>
      <c r="Y40" s="1">
        <v>22</v>
      </c>
      <c r="Z40" s="1">
        <v>23</v>
      </c>
      <c r="AA40" s="1">
        <v>24</v>
      </c>
      <c r="AB40" s="1">
        <v>25</v>
      </c>
      <c r="AC40" s="1">
        <v>26</v>
      </c>
      <c r="AD40" s="1">
        <v>27</v>
      </c>
      <c r="AE40" s="1">
        <v>28</v>
      </c>
      <c r="AF40" s="1">
        <v>29</v>
      </c>
      <c r="AG40" s="1">
        <v>30</v>
      </c>
      <c r="AH40" s="1">
        <v>31</v>
      </c>
      <c r="AI40" s="1">
        <v>32</v>
      </c>
      <c r="AJ40" s="1">
        <v>33</v>
      </c>
      <c r="AK40" s="1">
        <v>34</v>
      </c>
      <c r="AL40" s="1">
        <v>35</v>
      </c>
      <c r="AM40" s="1">
        <v>36</v>
      </c>
      <c r="AN40" s="1">
        <v>37</v>
      </c>
      <c r="AO40" s="1">
        <v>38</v>
      </c>
      <c r="AP40" s="1">
        <v>39</v>
      </c>
      <c r="AQ40" s="1">
        <v>40</v>
      </c>
      <c r="AR40" s="1">
        <v>41</v>
      </c>
      <c r="AS40" s="1">
        <v>42</v>
      </c>
      <c r="AT40" s="1">
        <v>43</v>
      </c>
      <c r="AU40" s="1">
        <v>44</v>
      </c>
      <c r="AV40" s="1">
        <v>45</v>
      </c>
      <c r="AW40" s="1">
        <v>46</v>
      </c>
      <c r="AX40" s="1">
        <v>47</v>
      </c>
      <c r="AY40" s="1">
        <v>48</v>
      </c>
      <c r="AZ40" s="1">
        <v>49</v>
      </c>
      <c r="BA40" s="1">
        <v>50</v>
      </c>
      <c r="BB40" s="1">
        <v>51</v>
      </c>
      <c r="BC40" s="1">
        <v>52</v>
      </c>
      <c r="BD40" s="1">
        <v>53</v>
      </c>
      <c r="BE40" s="1">
        <v>54</v>
      </c>
      <c r="BF40" s="1">
        <v>55</v>
      </c>
      <c r="BG40" s="1">
        <v>56</v>
      </c>
      <c r="BH40" s="1">
        <v>57</v>
      </c>
      <c r="BI40" s="1">
        <v>58</v>
      </c>
      <c r="BJ40" s="1">
        <v>59</v>
      </c>
      <c r="BK40" s="1">
        <v>60</v>
      </c>
      <c r="BL40" s="1">
        <v>61</v>
      </c>
      <c r="BM40" s="1">
        <v>62</v>
      </c>
      <c r="BN40" s="1">
        <v>63</v>
      </c>
      <c r="BO40" s="1">
        <v>64</v>
      </c>
      <c r="BP40" s="1">
        <v>65</v>
      </c>
      <c r="BQ40" s="1">
        <v>66</v>
      </c>
      <c r="BR40" s="1">
        <v>67</v>
      </c>
      <c r="BS40" s="1">
        <v>68</v>
      </c>
      <c r="BT40" s="1">
        <v>69</v>
      </c>
      <c r="BU40" s="1">
        <v>70</v>
      </c>
      <c r="BV40" s="1">
        <v>71</v>
      </c>
      <c r="BW40" s="1">
        <v>72</v>
      </c>
      <c r="BX40" s="1">
        <v>73</v>
      </c>
      <c r="BY40" s="1">
        <v>74</v>
      </c>
      <c r="BZ40" s="1">
        <v>75</v>
      </c>
      <c r="CA40" s="1">
        <v>76</v>
      </c>
      <c r="CB40" s="1">
        <v>77</v>
      </c>
      <c r="CC40" s="1">
        <v>78</v>
      </c>
      <c r="CD40" s="1">
        <v>79</v>
      </c>
      <c r="CE40" s="1">
        <v>80</v>
      </c>
      <c r="CF40" s="1">
        <v>81</v>
      </c>
      <c r="CG40" s="1">
        <v>82</v>
      </c>
      <c r="CH40" s="1">
        <v>83</v>
      </c>
      <c r="CI40" s="1">
        <v>84</v>
      </c>
      <c r="CJ40" s="1">
        <v>85</v>
      </c>
      <c r="CK40" s="1">
        <v>86</v>
      </c>
      <c r="CL40" s="1">
        <v>87</v>
      </c>
      <c r="CM40" s="1">
        <v>88</v>
      </c>
      <c r="CN40" s="1">
        <v>89</v>
      </c>
      <c r="CO40" s="1">
        <v>90</v>
      </c>
      <c r="CP40" s="1">
        <v>91</v>
      </c>
      <c r="CQ40" s="1">
        <v>92</v>
      </c>
      <c r="CR40" s="1">
        <v>93</v>
      </c>
      <c r="CS40" s="1">
        <v>94</v>
      </c>
      <c r="CT40" s="1">
        <v>95</v>
      </c>
      <c r="CU40" s="1">
        <v>96</v>
      </c>
      <c r="CV40" s="1">
        <v>97</v>
      </c>
      <c r="CW40" s="1">
        <v>98</v>
      </c>
      <c r="CX40" s="1">
        <v>99</v>
      </c>
      <c r="CY40" s="1">
        <v>100</v>
      </c>
    </row>
    <row r="41" spans="2:103" ht="15.75" customHeight="1">
      <c r="C41" s="1" t="s">
        <v>17</v>
      </c>
    </row>
    <row r="42" spans="2:103" ht="15.75" customHeight="1">
      <c r="C42" s="8">
        <v>10</v>
      </c>
      <c r="D42" s="9">
        <v>1.4999999999999999E-2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1.4999999999999999E-2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1.4999999999999999E-2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11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</row>
    <row r="43" spans="2:103" ht="15.75" customHeight="1">
      <c r="C43" s="8">
        <v>100</v>
      </c>
      <c r="D43" s="9">
        <v>1.5E-3</v>
      </c>
      <c r="E43" s="9">
        <v>0</v>
      </c>
      <c r="F43" s="9">
        <v>0</v>
      </c>
      <c r="G43" s="9">
        <v>3.0000000000000001E-3</v>
      </c>
      <c r="H43" s="9">
        <v>1.5E-3</v>
      </c>
      <c r="I43" s="9">
        <v>1.5E-3</v>
      </c>
      <c r="J43" s="9">
        <v>0</v>
      </c>
      <c r="K43" s="9">
        <v>0</v>
      </c>
      <c r="L43" s="9">
        <v>1.5E-3</v>
      </c>
      <c r="M43" s="9">
        <v>0</v>
      </c>
      <c r="N43" s="9">
        <v>0</v>
      </c>
      <c r="O43" s="9">
        <v>1.5E-3</v>
      </c>
      <c r="P43" s="9">
        <v>0</v>
      </c>
      <c r="Q43" s="9">
        <v>0</v>
      </c>
      <c r="R43" s="9">
        <v>1.5E-3</v>
      </c>
      <c r="S43" s="9">
        <v>1.5E-3</v>
      </c>
      <c r="T43" s="9">
        <v>1.5E-3</v>
      </c>
      <c r="U43" s="9">
        <v>0</v>
      </c>
      <c r="V43" s="9">
        <v>1.5E-3</v>
      </c>
      <c r="W43" s="9">
        <v>1.5E-3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3.0000000000000001E-3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3.0000000000000001E-3</v>
      </c>
      <c r="AK43" s="9">
        <v>1.5E-3</v>
      </c>
      <c r="AL43" s="9">
        <v>0</v>
      </c>
      <c r="AM43" s="9">
        <v>1.5E-3</v>
      </c>
      <c r="AN43" s="9">
        <v>1.5E-3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1.5E-3</v>
      </c>
      <c r="AV43" s="9">
        <v>0</v>
      </c>
      <c r="AW43" s="9">
        <v>0</v>
      </c>
      <c r="AX43" s="9">
        <v>3.0000000000000001E-3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1.5E-3</v>
      </c>
      <c r="BO43" s="9">
        <v>0</v>
      </c>
      <c r="BP43" s="9">
        <v>1.5E-3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1.5E-3</v>
      </c>
      <c r="BX43" s="9">
        <v>0</v>
      </c>
      <c r="BY43" s="9">
        <v>1.5E-3</v>
      </c>
      <c r="BZ43" s="11">
        <v>0</v>
      </c>
      <c r="CA43" s="9">
        <v>0</v>
      </c>
      <c r="CB43" s="9">
        <v>1.5E-3</v>
      </c>
      <c r="CC43" s="9">
        <v>0</v>
      </c>
      <c r="CD43" s="9">
        <v>0</v>
      </c>
      <c r="CE43" s="9">
        <v>1.5E-3</v>
      </c>
      <c r="CF43" s="9">
        <v>0</v>
      </c>
      <c r="CG43" s="9">
        <v>3.0000000000000001E-3</v>
      </c>
      <c r="CH43" s="9">
        <v>0</v>
      </c>
      <c r="CI43" s="9">
        <v>3.0000000000000001E-3</v>
      </c>
      <c r="CJ43" s="9">
        <v>0</v>
      </c>
      <c r="CK43" s="9">
        <v>3.0000000000000001E-3</v>
      </c>
      <c r="CL43" s="9">
        <v>0</v>
      </c>
      <c r="CM43" s="9">
        <v>0</v>
      </c>
      <c r="CN43" s="9">
        <v>3.0000000000000001E-3</v>
      </c>
      <c r="CO43" s="9">
        <v>3.0000000000000001E-3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</row>
    <row r="44" spans="2:103" ht="15.75" customHeight="1">
      <c r="C44" s="8">
        <v>1000</v>
      </c>
      <c r="D44" s="9">
        <v>1.4999999999999999E-4</v>
      </c>
      <c r="E44" s="9">
        <v>7.5000000000000002E-4</v>
      </c>
      <c r="F44" s="9">
        <v>5.9999999999999995E-4</v>
      </c>
      <c r="G44" s="9">
        <v>1.4999999999999999E-4</v>
      </c>
      <c r="H44" s="9">
        <v>1.0499999999999999E-3</v>
      </c>
      <c r="I44" s="9">
        <v>7.5000000000000002E-4</v>
      </c>
      <c r="J44" s="9">
        <v>0</v>
      </c>
      <c r="K44" s="9">
        <v>8.9999999999999998E-4</v>
      </c>
      <c r="L44" s="9">
        <v>8.9999999999999998E-4</v>
      </c>
      <c r="M44" s="9">
        <v>5.9999999999999995E-4</v>
      </c>
      <c r="N44" s="9">
        <v>5.9999999999999995E-4</v>
      </c>
      <c r="O44" s="9">
        <v>2.9999999999999997E-4</v>
      </c>
      <c r="P44" s="9">
        <v>4.4999999999999999E-4</v>
      </c>
      <c r="Q44" s="9">
        <v>5.9999999999999995E-4</v>
      </c>
      <c r="R44" s="9">
        <v>5.9999999999999995E-4</v>
      </c>
      <c r="S44" s="9">
        <v>1.0499999999999999E-3</v>
      </c>
      <c r="T44" s="9">
        <v>5.9999999999999995E-4</v>
      </c>
      <c r="U44" s="9">
        <v>2.9999999999999997E-4</v>
      </c>
      <c r="V44" s="9">
        <v>8.9999999999999998E-4</v>
      </c>
      <c r="W44" s="9">
        <v>1.4999999999999999E-4</v>
      </c>
      <c r="X44" s="9">
        <v>2.9999999999999997E-4</v>
      </c>
      <c r="Y44" s="9">
        <v>7.5000000000000002E-4</v>
      </c>
      <c r="Z44" s="9">
        <v>7.5000000000000002E-4</v>
      </c>
      <c r="AA44" s="9">
        <v>7.5000000000000002E-4</v>
      </c>
      <c r="AB44" s="9">
        <v>1.0499999999999999E-3</v>
      </c>
      <c r="AC44" s="9">
        <v>2.9999999999999997E-4</v>
      </c>
      <c r="AD44" s="9">
        <v>7.5000000000000002E-4</v>
      </c>
      <c r="AE44" s="9">
        <v>5.9999999999999995E-4</v>
      </c>
      <c r="AF44" s="9">
        <v>8.9999999999999998E-4</v>
      </c>
      <c r="AG44" s="9">
        <v>8.9999999999999998E-4</v>
      </c>
      <c r="AH44" s="9">
        <v>1.4999999999999999E-4</v>
      </c>
      <c r="AI44" s="9">
        <v>5.9999999999999995E-4</v>
      </c>
      <c r="AJ44" s="9">
        <v>5.9999999999999995E-4</v>
      </c>
      <c r="AK44" s="9">
        <v>2.9999999999999997E-4</v>
      </c>
      <c r="AL44" s="9">
        <v>7.5000000000000002E-4</v>
      </c>
      <c r="AM44" s="9">
        <v>4.4999999999999999E-4</v>
      </c>
      <c r="AN44" s="9">
        <v>7.5000000000000002E-4</v>
      </c>
      <c r="AO44" s="9">
        <v>7.5000000000000002E-4</v>
      </c>
      <c r="AP44" s="9">
        <v>2.9999999999999997E-4</v>
      </c>
      <c r="AQ44" s="9">
        <v>2.9999999999999997E-4</v>
      </c>
      <c r="AR44" s="9">
        <v>7.5000000000000002E-4</v>
      </c>
      <c r="AS44" s="9">
        <v>8.9999999999999998E-4</v>
      </c>
      <c r="AT44" s="9">
        <v>1.0499999999999999E-3</v>
      </c>
      <c r="AU44" s="9">
        <v>8.9999999999999998E-4</v>
      </c>
      <c r="AV44" s="9">
        <v>4.4999999999999999E-4</v>
      </c>
      <c r="AW44" s="9">
        <v>7.5000000000000002E-4</v>
      </c>
      <c r="AX44" s="9">
        <v>7.5000000000000002E-4</v>
      </c>
      <c r="AY44" s="9">
        <v>4.4999999999999999E-4</v>
      </c>
      <c r="AZ44" s="9">
        <v>2.9999999999999997E-4</v>
      </c>
      <c r="BA44" s="9">
        <v>1.0499999999999999E-3</v>
      </c>
      <c r="BB44" s="9">
        <v>8.9999999999999998E-4</v>
      </c>
      <c r="BC44" s="9">
        <v>8.9999999999999998E-4</v>
      </c>
      <c r="BD44" s="9">
        <v>1.4999999999999999E-4</v>
      </c>
      <c r="BE44" s="9">
        <v>5.9999999999999995E-4</v>
      </c>
      <c r="BF44" s="9">
        <v>8.9999999999999998E-4</v>
      </c>
      <c r="BG44" s="9">
        <v>8.9999999999999998E-4</v>
      </c>
      <c r="BH44" s="9">
        <v>2.9999999999999997E-4</v>
      </c>
      <c r="BI44" s="9">
        <v>4.4999999999999999E-4</v>
      </c>
      <c r="BJ44" s="9">
        <v>8.9999999999999998E-4</v>
      </c>
      <c r="BK44" s="9">
        <v>4.4999999999999999E-4</v>
      </c>
      <c r="BL44" s="9">
        <v>4.4999999999999999E-4</v>
      </c>
      <c r="BM44" s="9">
        <v>4.4999999999999999E-4</v>
      </c>
      <c r="BN44" s="9">
        <v>1.4999999999999999E-4</v>
      </c>
      <c r="BO44" s="9">
        <v>8.9999999999999998E-4</v>
      </c>
      <c r="BP44" s="9">
        <v>1.0499999999999999E-3</v>
      </c>
      <c r="BQ44" s="9">
        <v>7.5000000000000002E-4</v>
      </c>
      <c r="BR44" s="9">
        <v>2.9999999999999997E-4</v>
      </c>
      <c r="BS44" s="9">
        <v>8.9999999999999998E-4</v>
      </c>
      <c r="BT44" s="9">
        <v>1.0499999999999999E-3</v>
      </c>
      <c r="BU44" s="9">
        <v>2.9999999999999997E-4</v>
      </c>
      <c r="BV44" s="9">
        <v>4.4999999999999999E-4</v>
      </c>
      <c r="BW44" s="9">
        <v>8.9999999999999998E-4</v>
      </c>
      <c r="BX44" s="9">
        <v>8.9999999999999998E-4</v>
      </c>
      <c r="BY44" s="9">
        <v>8.9999999999999998E-4</v>
      </c>
      <c r="BZ44" s="11">
        <v>0</v>
      </c>
      <c r="CA44" s="9">
        <v>7.5000000000000002E-4</v>
      </c>
      <c r="CB44" s="9">
        <v>8.9999999999999998E-4</v>
      </c>
      <c r="CC44" s="9">
        <v>0</v>
      </c>
      <c r="CD44" s="9">
        <v>1.4999999999999999E-4</v>
      </c>
      <c r="CE44" s="9">
        <v>2.9999999999999997E-4</v>
      </c>
      <c r="CF44" s="9">
        <v>8.9999999999999998E-4</v>
      </c>
      <c r="CG44" s="9">
        <v>5.9999999999999995E-4</v>
      </c>
      <c r="CH44" s="9">
        <v>5.9999999999999995E-4</v>
      </c>
      <c r="CI44" s="9">
        <v>2.9999999999999997E-4</v>
      </c>
      <c r="CJ44" s="9">
        <v>7.5000000000000002E-4</v>
      </c>
      <c r="CK44" s="9">
        <v>2.9999999999999997E-4</v>
      </c>
      <c r="CL44" s="9">
        <v>7.5000000000000002E-4</v>
      </c>
      <c r="CM44" s="9">
        <v>5.9999999999999995E-4</v>
      </c>
      <c r="CN44" s="9">
        <v>4.4999999999999999E-4</v>
      </c>
      <c r="CO44" s="9">
        <v>7.5000000000000002E-4</v>
      </c>
      <c r="CP44" s="9">
        <v>1.4999999999999999E-4</v>
      </c>
      <c r="CQ44" s="9">
        <v>4.4999999999999999E-4</v>
      </c>
      <c r="CR44" s="9">
        <v>4.4999999999999999E-4</v>
      </c>
      <c r="CS44" s="9">
        <v>5.9999999999999995E-4</v>
      </c>
      <c r="CT44" s="9">
        <v>5.9999999999999995E-4</v>
      </c>
      <c r="CU44" s="9">
        <v>5.9999999999999995E-4</v>
      </c>
      <c r="CV44" s="9">
        <v>1.0499999999999999E-3</v>
      </c>
      <c r="CW44" s="9">
        <v>5.9999999999999995E-4</v>
      </c>
      <c r="CX44" s="9">
        <v>4.4999999999999999E-4</v>
      </c>
      <c r="CY44" s="9">
        <v>4.4999999999999999E-4</v>
      </c>
    </row>
    <row r="45" spans="2:103" ht="15.75" customHeight="1">
      <c r="C45" s="8">
        <v>10000</v>
      </c>
      <c r="D45" s="9">
        <v>7.6499999999999995E-4</v>
      </c>
      <c r="E45" s="9">
        <v>5.9999999999999995E-4</v>
      </c>
      <c r="F45" s="9">
        <v>5.1000000000000004E-4</v>
      </c>
      <c r="G45" s="9">
        <v>6.3000000000000003E-4</v>
      </c>
      <c r="H45" s="9">
        <v>6.1499999999999999E-4</v>
      </c>
      <c r="I45" s="9">
        <v>5.6999999999999998E-4</v>
      </c>
      <c r="J45" s="9">
        <v>4.8000000000000001E-4</v>
      </c>
      <c r="K45" s="9">
        <v>6.3000000000000003E-4</v>
      </c>
      <c r="L45" s="9">
        <v>4.35E-4</v>
      </c>
      <c r="M45" s="9">
        <v>5.8500000000000002E-4</v>
      </c>
      <c r="N45" s="9">
        <v>6.4499999999999996E-4</v>
      </c>
      <c r="O45" s="9">
        <v>4.8000000000000001E-4</v>
      </c>
      <c r="P45" s="9">
        <v>6.7500000000000004E-4</v>
      </c>
      <c r="Q45" s="9">
        <v>4.6500000000000003E-4</v>
      </c>
      <c r="R45" s="9">
        <v>7.2000000000000005E-4</v>
      </c>
      <c r="S45" s="9">
        <v>4.95E-4</v>
      </c>
      <c r="T45" s="9">
        <v>4.6500000000000003E-4</v>
      </c>
      <c r="U45" s="9">
        <v>5.1000000000000004E-4</v>
      </c>
      <c r="V45" s="9">
        <v>6.6E-4</v>
      </c>
      <c r="W45" s="9">
        <v>5.9999999999999995E-4</v>
      </c>
      <c r="X45" s="9">
        <v>6.4499999999999996E-4</v>
      </c>
      <c r="Y45" s="9">
        <v>5.4000000000000001E-4</v>
      </c>
      <c r="Z45" s="9">
        <v>6.1499999999999999E-4</v>
      </c>
      <c r="AA45" s="9">
        <v>6.3000000000000003E-4</v>
      </c>
      <c r="AB45" s="9">
        <v>7.0500000000000001E-4</v>
      </c>
      <c r="AC45" s="9">
        <v>5.9999999999999995E-4</v>
      </c>
      <c r="AD45" s="9">
        <v>4.95E-4</v>
      </c>
      <c r="AE45" s="9">
        <v>7.5000000000000002E-4</v>
      </c>
      <c r="AF45" s="9">
        <v>5.8500000000000002E-4</v>
      </c>
      <c r="AG45" s="9">
        <v>5.9999999999999995E-4</v>
      </c>
      <c r="AH45" s="9">
        <v>4.0499999999999998E-4</v>
      </c>
      <c r="AI45" s="9">
        <v>6.1499999999999999E-4</v>
      </c>
      <c r="AJ45" s="9">
        <v>5.6999999999999998E-4</v>
      </c>
      <c r="AK45" s="9">
        <v>6.8999999999999997E-4</v>
      </c>
      <c r="AL45" s="9">
        <v>6.7500000000000004E-4</v>
      </c>
      <c r="AM45" s="9">
        <v>4.35E-4</v>
      </c>
      <c r="AN45" s="9">
        <v>7.0500000000000001E-4</v>
      </c>
      <c r="AO45" s="9">
        <v>6.8999999999999997E-4</v>
      </c>
      <c r="AP45" s="9">
        <v>2.8499999999999999E-4</v>
      </c>
      <c r="AQ45" s="9">
        <v>6.1499999999999999E-4</v>
      </c>
      <c r="AR45" s="9">
        <v>9.1500000000000001E-4</v>
      </c>
      <c r="AS45" s="9">
        <v>7.0500000000000001E-4</v>
      </c>
      <c r="AT45" s="9">
        <v>4.0499999999999998E-4</v>
      </c>
      <c r="AU45" s="9">
        <v>5.4000000000000001E-4</v>
      </c>
      <c r="AV45" s="9">
        <v>8.25E-4</v>
      </c>
      <c r="AW45" s="9">
        <v>5.2499999999999997E-4</v>
      </c>
      <c r="AX45" s="9">
        <v>6.6E-4</v>
      </c>
      <c r="AY45" s="9">
        <v>8.0999999999999996E-4</v>
      </c>
      <c r="AZ45" s="9">
        <v>5.1000000000000004E-4</v>
      </c>
      <c r="BA45" s="9">
        <v>7.3499999999999998E-4</v>
      </c>
      <c r="BB45" s="9">
        <v>7.0500000000000001E-4</v>
      </c>
      <c r="BC45" s="9">
        <v>6.3000000000000003E-4</v>
      </c>
      <c r="BD45" s="9">
        <v>4.6500000000000003E-4</v>
      </c>
      <c r="BE45" s="9">
        <v>7.0500000000000001E-4</v>
      </c>
      <c r="BF45" s="9">
        <v>5.9999999999999995E-4</v>
      </c>
      <c r="BG45" s="9">
        <v>4.4999999999999999E-4</v>
      </c>
      <c r="BH45" s="9">
        <v>5.5500000000000005E-4</v>
      </c>
      <c r="BI45" s="9">
        <v>5.9999999999999995E-4</v>
      </c>
      <c r="BJ45" s="9">
        <v>5.6999999999999998E-4</v>
      </c>
      <c r="BK45" s="9">
        <v>5.9999999999999995E-4</v>
      </c>
      <c r="BL45" s="9">
        <v>5.4000000000000001E-4</v>
      </c>
      <c r="BM45" s="9">
        <v>6.4499999999999996E-4</v>
      </c>
      <c r="BN45" s="9">
        <v>6.1499999999999999E-4</v>
      </c>
      <c r="BO45" s="9">
        <v>5.2499999999999997E-4</v>
      </c>
      <c r="BP45" s="9">
        <v>5.8500000000000002E-4</v>
      </c>
      <c r="BQ45" s="9">
        <v>4.8000000000000001E-4</v>
      </c>
      <c r="BR45" s="9">
        <v>6.3000000000000003E-4</v>
      </c>
      <c r="BS45" s="9">
        <v>7.3499999999999998E-4</v>
      </c>
      <c r="BT45" s="9">
        <v>6.4499999999999996E-4</v>
      </c>
      <c r="BU45" s="9">
        <v>6.3000000000000003E-4</v>
      </c>
      <c r="BV45" s="9">
        <v>5.9999999999999995E-4</v>
      </c>
      <c r="BW45" s="9">
        <v>7.9500000000000003E-4</v>
      </c>
      <c r="BX45" s="9">
        <v>7.5000000000000002E-4</v>
      </c>
      <c r="BY45" s="9">
        <v>4.6500000000000003E-4</v>
      </c>
      <c r="BZ45" s="11">
        <v>6.1499999999999999E-4</v>
      </c>
      <c r="CA45" s="9">
        <v>6.1499999999999999E-4</v>
      </c>
      <c r="CB45" s="9">
        <v>4.95E-4</v>
      </c>
      <c r="CC45" s="9">
        <v>5.2499999999999997E-4</v>
      </c>
      <c r="CD45" s="9">
        <v>6.1499999999999999E-4</v>
      </c>
      <c r="CE45" s="9">
        <v>8.7000000000000001E-4</v>
      </c>
      <c r="CF45" s="9">
        <v>3.8999999999999999E-4</v>
      </c>
      <c r="CG45" s="9">
        <v>5.8500000000000002E-4</v>
      </c>
      <c r="CH45" s="9">
        <v>5.5500000000000005E-4</v>
      </c>
      <c r="CI45" s="9">
        <v>7.3499999999999998E-4</v>
      </c>
      <c r="CJ45" s="9">
        <v>5.6999999999999998E-4</v>
      </c>
      <c r="CK45" s="9">
        <v>4.0499999999999998E-4</v>
      </c>
      <c r="CL45" s="9">
        <v>6.7500000000000004E-4</v>
      </c>
      <c r="CM45" s="9">
        <v>4.95E-4</v>
      </c>
      <c r="CN45" s="9">
        <v>6.1499999999999999E-4</v>
      </c>
      <c r="CO45" s="9">
        <v>6.4499999999999996E-4</v>
      </c>
      <c r="CP45" s="9">
        <v>6.1499999999999999E-4</v>
      </c>
      <c r="CQ45" s="9">
        <v>5.4000000000000001E-4</v>
      </c>
      <c r="CR45" s="9">
        <v>5.1000000000000004E-4</v>
      </c>
      <c r="CS45" s="9">
        <v>4.95E-4</v>
      </c>
      <c r="CT45" s="9">
        <v>4.4999999999999999E-4</v>
      </c>
      <c r="CU45" s="9">
        <v>5.2499999999999997E-4</v>
      </c>
      <c r="CV45" s="9">
        <v>6.3000000000000003E-4</v>
      </c>
      <c r="CW45" s="9">
        <v>4.2000000000000002E-4</v>
      </c>
      <c r="CX45" s="9">
        <v>6.7500000000000004E-4</v>
      </c>
      <c r="CY45" s="9">
        <v>5.4000000000000001E-4</v>
      </c>
    </row>
    <row r="46" spans="2:103" ht="15.75" customHeight="1">
      <c r="C46" s="8">
        <v>100000</v>
      </c>
      <c r="D46" s="9">
        <v>5.6099999999999998E-4</v>
      </c>
      <c r="E46" s="9">
        <v>5.7300000000000005E-4</v>
      </c>
      <c r="F46" s="9">
        <v>6.3299999999999999E-4</v>
      </c>
      <c r="G46" s="9">
        <v>6.3299999999999999E-4</v>
      </c>
      <c r="H46" s="9">
        <v>5.6849999999999999E-4</v>
      </c>
      <c r="I46" s="9">
        <v>5.6999999999999998E-4</v>
      </c>
      <c r="J46" s="9">
        <v>6.1050000000000004E-4</v>
      </c>
      <c r="K46" s="9">
        <v>5.8200000000000005E-4</v>
      </c>
      <c r="L46" s="9">
        <v>5.7899999999999998E-4</v>
      </c>
      <c r="M46" s="9">
        <v>6.0150000000000004E-4</v>
      </c>
      <c r="N46" s="9">
        <v>6.135E-4</v>
      </c>
      <c r="O46" s="9">
        <v>6.1799999999999995E-4</v>
      </c>
      <c r="P46" s="9">
        <v>5.6550000000000003E-4</v>
      </c>
      <c r="Q46" s="9">
        <v>6.1499999999999999E-4</v>
      </c>
      <c r="R46" s="9">
        <v>6.5399999999999996E-4</v>
      </c>
      <c r="S46" s="9">
        <v>6.3000000000000003E-4</v>
      </c>
      <c r="T46" s="9">
        <v>6.1649999999999997E-4</v>
      </c>
      <c r="U46" s="9">
        <v>5.8350000000000003E-4</v>
      </c>
      <c r="V46" s="9">
        <v>6.1499999999999999E-4</v>
      </c>
      <c r="W46" s="9">
        <v>5.8500000000000002E-4</v>
      </c>
      <c r="X46" s="9">
        <v>6.135E-4</v>
      </c>
      <c r="Y46" s="9">
        <v>5.4900000000000001E-4</v>
      </c>
      <c r="Z46" s="9">
        <v>6.1799999999999995E-4</v>
      </c>
      <c r="AA46" s="9">
        <v>6.0749999999999997E-4</v>
      </c>
      <c r="AB46" s="9">
        <v>6.2250000000000001E-4</v>
      </c>
      <c r="AC46" s="9">
        <v>6.2549999999999997E-4</v>
      </c>
      <c r="AD46" s="9">
        <v>5.4900000000000001E-4</v>
      </c>
      <c r="AE46" s="9">
        <v>6.4199999999999999E-4</v>
      </c>
      <c r="AF46" s="9">
        <v>5.775E-4</v>
      </c>
      <c r="AG46" s="9">
        <v>6.2850000000000004E-4</v>
      </c>
      <c r="AH46" s="9">
        <v>5.7450000000000003E-4</v>
      </c>
      <c r="AI46" s="9">
        <v>6.0749999999999997E-4</v>
      </c>
      <c r="AJ46" s="9">
        <v>6.1649999999999997E-4</v>
      </c>
      <c r="AK46" s="9">
        <v>6.0150000000000004E-4</v>
      </c>
      <c r="AL46" s="9">
        <v>6.1499999999999999E-4</v>
      </c>
      <c r="AM46" s="9">
        <v>6.0599999999999998E-4</v>
      </c>
      <c r="AN46" s="9">
        <v>5.8049999999999996E-4</v>
      </c>
      <c r="AO46" s="9">
        <v>6.045E-4</v>
      </c>
      <c r="AP46" s="9">
        <v>6.135E-4</v>
      </c>
      <c r="AQ46" s="9">
        <v>5.955E-4</v>
      </c>
      <c r="AR46" s="9">
        <v>5.5650000000000003E-4</v>
      </c>
      <c r="AS46" s="9">
        <v>5.8049999999999996E-4</v>
      </c>
      <c r="AT46" s="9">
        <v>6.135E-4</v>
      </c>
      <c r="AU46" s="9">
        <v>5.7450000000000003E-4</v>
      </c>
      <c r="AV46" s="9">
        <v>6.0749999999999997E-4</v>
      </c>
      <c r="AW46" s="9">
        <v>5.8799999999999998E-4</v>
      </c>
      <c r="AX46" s="9">
        <v>5.7149999999999996E-4</v>
      </c>
      <c r="AY46" s="9">
        <v>6.3000000000000003E-4</v>
      </c>
      <c r="AZ46" s="9">
        <v>6.3000000000000003E-4</v>
      </c>
      <c r="BA46" s="9">
        <v>5.6249999999999996E-4</v>
      </c>
      <c r="BB46" s="9">
        <v>5.955E-4</v>
      </c>
      <c r="BC46" s="9">
        <v>6.3599999999999996E-4</v>
      </c>
      <c r="BD46" s="9">
        <v>5.7300000000000005E-4</v>
      </c>
      <c r="BE46" s="9">
        <v>5.775E-4</v>
      </c>
      <c r="BF46" s="9">
        <v>6.0150000000000004E-4</v>
      </c>
      <c r="BG46" s="9">
        <v>5.8949999999999996E-4</v>
      </c>
      <c r="BH46" s="9">
        <v>5.8049999999999996E-4</v>
      </c>
      <c r="BI46" s="9">
        <v>6.2250000000000001E-4</v>
      </c>
      <c r="BJ46" s="9">
        <v>5.4600000000000004E-4</v>
      </c>
      <c r="BK46" s="9">
        <v>5.9100000000000005E-4</v>
      </c>
      <c r="BL46" s="9">
        <v>6.2699999999999995E-4</v>
      </c>
      <c r="BM46" s="9">
        <v>6.6750000000000002E-4</v>
      </c>
      <c r="BN46" s="9">
        <v>5.865E-4</v>
      </c>
      <c r="BO46" s="9">
        <v>6.0300000000000002E-4</v>
      </c>
      <c r="BP46" s="9">
        <v>6.045E-4</v>
      </c>
      <c r="BQ46" s="9">
        <v>5.4600000000000004E-4</v>
      </c>
      <c r="BR46" s="9">
        <v>6.0899999999999995E-4</v>
      </c>
      <c r="BS46" s="9">
        <v>5.4750000000000003E-4</v>
      </c>
      <c r="BT46" s="9">
        <v>5.4750000000000003E-4</v>
      </c>
      <c r="BU46" s="9">
        <v>5.5650000000000003E-4</v>
      </c>
      <c r="BV46" s="9">
        <v>6.2250000000000001E-4</v>
      </c>
      <c r="BW46" s="9">
        <v>6.6450000000000005E-4</v>
      </c>
      <c r="BX46" s="9">
        <v>6.2399999999999999E-4</v>
      </c>
      <c r="BY46" s="9">
        <v>6.2399999999999999E-4</v>
      </c>
      <c r="BZ46" s="11">
        <v>6.2699999999999995E-4</v>
      </c>
      <c r="CA46" s="9">
        <v>6.0899999999999995E-4</v>
      </c>
      <c r="CB46" s="9">
        <v>6.2399999999999999E-4</v>
      </c>
      <c r="CC46" s="9">
        <v>5.5049999999999999E-4</v>
      </c>
      <c r="CD46" s="9">
        <v>5.5049999999999999E-4</v>
      </c>
      <c r="CE46" s="9">
        <v>5.8500000000000002E-4</v>
      </c>
      <c r="CF46" s="9">
        <v>6.6149999999999998E-4</v>
      </c>
      <c r="CG46" s="9">
        <v>5.865E-4</v>
      </c>
      <c r="CH46" s="9">
        <v>6.1950000000000004E-4</v>
      </c>
      <c r="CI46" s="9">
        <v>6.2250000000000001E-4</v>
      </c>
      <c r="CJ46" s="9">
        <v>6.1499999999999999E-4</v>
      </c>
      <c r="CK46" s="9">
        <v>6.1950000000000004E-4</v>
      </c>
      <c r="CL46" s="9">
        <v>5.9400000000000002E-4</v>
      </c>
      <c r="CM46" s="9">
        <v>5.955E-4</v>
      </c>
      <c r="CN46" s="9">
        <v>5.5949999999999999E-4</v>
      </c>
      <c r="CO46" s="9">
        <v>6.1649999999999997E-4</v>
      </c>
      <c r="CP46" s="9">
        <v>5.9250000000000004E-4</v>
      </c>
      <c r="CQ46" s="9">
        <v>5.7899999999999998E-4</v>
      </c>
      <c r="CR46" s="9">
        <v>6.0599999999999998E-4</v>
      </c>
      <c r="CS46" s="9">
        <v>6.045E-4</v>
      </c>
      <c r="CT46" s="9">
        <v>6.2100000000000002E-4</v>
      </c>
      <c r="CU46" s="9">
        <v>6.0749999999999997E-4</v>
      </c>
      <c r="CV46" s="9">
        <v>6.3299999999999999E-4</v>
      </c>
      <c r="CW46" s="9">
        <v>6.0899999999999995E-4</v>
      </c>
      <c r="CX46" s="9">
        <v>6.3750000000000005E-4</v>
      </c>
      <c r="CY46" s="9">
        <v>5.7450000000000003E-4</v>
      </c>
    </row>
    <row r="47" spans="2:103" ht="15.75" customHeight="1">
      <c r="C47" s="8">
        <v>1000000</v>
      </c>
      <c r="D47" s="9">
        <v>5.9084999999999997E-4</v>
      </c>
      <c r="E47" s="9">
        <v>5.8319999999999997E-4</v>
      </c>
      <c r="F47" s="9">
        <v>5.9880000000000003E-4</v>
      </c>
      <c r="G47" s="9">
        <v>6.0329999999999997E-4</v>
      </c>
      <c r="H47" s="9">
        <v>6.0795000000000001E-4</v>
      </c>
      <c r="I47" s="9">
        <v>5.9805000000000004E-4</v>
      </c>
      <c r="J47" s="9">
        <v>5.9175000000000005E-4</v>
      </c>
      <c r="K47" s="9">
        <v>5.9924999999999996E-4</v>
      </c>
      <c r="L47" s="9">
        <v>5.8739999999999997E-4</v>
      </c>
      <c r="M47" s="9">
        <v>5.9369999999999996E-4</v>
      </c>
      <c r="N47" s="9">
        <v>5.9535000000000002E-4</v>
      </c>
      <c r="O47" s="9">
        <v>5.9535000000000002E-4</v>
      </c>
      <c r="P47" s="9">
        <v>5.9774999999999997E-4</v>
      </c>
      <c r="Q47" s="9">
        <v>5.9834999999999999E-4</v>
      </c>
      <c r="R47" s="9">
        <v>5.9714999999999996E-4</v>
      </c>
      <c r="S47" s="9">
        <v>6.066E-4</v>
      </c>
      <c r="T47" s="9">
        <v>5.8485000000000004E-4</v>
      </c>
      <c r="U47" s="9">
        <v>5.9535000000000002E-4</v>
      </c>
      <c r="V47" s="9">
        <v>5.8454999999999998E-4</v>
      </c>
      <c r="W47" s="9">
        <v>6.0134999999999995E-4</v>
      </c>
      <c r="X47" s="9">
        <v>5.9940000000000004E-4</v>
      </c>
      <c r="Y47" s="9">
        <v>5.9924999999999996E-4</v>
      </c>
      <c r="Z47" s="9">
        <v>5.7660000000000003E-4</v>
      </c>
      <c r="AA47" s="9">
        <v>6.0645000000000002E-4</v>
      </c>
      <c r="AB47" s="9">
        <v>5.8109999999999998E-4</v>
      </c>
      <c r="AC47" s="9">
        <v>5.6669999999999995E-4</v>
      </c>
      <c r="AD47" s="9">
        <v>5.8965000000000005E-4</v>
      </c>
      <c r="AE47" s="9">
        <v>5.9820000000000001E-4</v>
      </c>
      <c r="AF47" s="9">
        <v>6.1154999999999998E-4</v>
      </c>
      <c r="AG47" s="9">
        <v>6.0479999999999996E-4</v>
      </c>
      <c r="AH47" s="9">
        <v>5.8980000000000002E-4</v>
      </c>
      <c r="AI47" s="9">
        <v>6.0645000000000002E-4</v>
      </c>
      <c r="AJ47" s="9">
        <v>6.0285000000000004E-4</v>
      </c>
      <c r="AK47" s="9">
        <v>5.8410000000000005E-4</v>
      </c>
      <c r="AL47" s="9">
        <v>6.0765000000000005E-4</v>
      </c>
      <c r="AM47" s="9">
        <v>5.9219999999999997E-4</v>
      </c>
      <c r="AN47" s="9">
        <v>6.1320000000000005E-4</v>
      </c>
      <c r="AO47" s="9">
        <v>6.066E-4</v>
      </c>
      <c r="AP47" s="9">
        <v>6.0884999999999997E-4</v>
      </c>
      <c r="AQ47" s="9">
        <v>6.0599999999999998E-4</v>
      </c>
      <c r="AR47" s="9">
        <v>5.9940000000000004E-4</v>
      </c>
      <c r="AS47" s="9">
        <v>6.0150000000000004E-4</v>
      </c>
      <c r="AT47" s="9">
        <v>5.9699999999999998E-4</v>
      </c>
      <c r="AU47" s="9">
        <v>5.9205E-4</v>
      </c>
      <c r="AV47" s="9">
        <v>5.9265000000000001E-4</v>
      </c>
      <c r="AW47" s="9">
        <v>5.9969999999999999E-4</v>
      </c>
      <c r="AX47" s="9">
        <v>6.2129999999999998E-4</v>
      </c>
      <c r="AY47" s="9">
        <v>5.9040000000000004E-4</v>
      </c>
      <c r="AZ47" s="9">
        <v>6.0225000000000003E-4</v>
      </c>
      <c r="BA47" s="9">
        <v>5.9414999999999999E-4</v>
      </c>
      <c r="BB47" s="9">
        <v>5.9369999999999996E-4</v>
      </c>
      <c r="BC47" s="9">
        <v>6.1079999999999999E-4</v>
      </c>
      <c r="BD47" s="9">
        <v>5.9250000000000004E-4</v>
      </c>
      <c r="BE47" s="9">
        <v>5.9234999999999995E-4</v>
      </c>
      <c r="BF47" s="9">
        <v>5.9564999999999998E-4</v>
      </c>
      <c r="BG47" s="9">
        <v>5.9325000000000003E-4</v>
      </c>
      <c r="BH47" s="9">
        <v>5.9444999999999995E-4</v>
      </c>
      <c r="BI47" s="9">
        <v>5.9924999999999996E-4</v>
      </c>
      <c r="BJ47" s="9">
        <v>6.0059999999999996E-4</v>
      </c>
      <c r="BK47" s="9">
        <v>6.1755000000000002E-4</v>
      </c>
      <c r="BL47" s="9">
        <v>5.9369999999999996E-4</v>
      </c>
      <c r="BM47" s="9">
        <v>5.9969999999999999E-4</v>
      </c>
      <c r="BN47" s="9">
        <v>5.9414999999999999E-4</v>
      </c>
      <c r="BO47" s="9">
        <v>6.0240000000000001E-4</v>
      </c>
      <c r="BP47" s="9">
        <v>5.9385000000000004E-4</v>
      </c>
      <c r="BQ47" s="9">
        <v>6.0344999999999995E-4</v>
      </c>
      <c r="BR47" s="9">
        <v>6.0090000000000002E-4</v>
      </c>
      <c r="BS47" s="9">
        <v>6.0570000000000003E-4</v>
      </c>
      <c r="BT47" s="9">
        <v>5.9175000000000005E-4</v>
      </c>
      <c r="BU47" s="9">
        <v>6.0134999999999995E-4</v>
      </c>
      <c r="BV47" s="9">
        <v>5.9055000000000002E-4</v>
      </c>
      <c r="BW47" s="9">
        <v>5.9745000000000002E-4</v>
      </c>
      <c r="BX47" s="9">
        <v>6.0899999999999995E-4</v>
      </c>
      <c r="BY47" s="9">
        <v>6.0570000000000003E-4</v>
      </c>
      <c r="BZ47" s="11">
        <v>5.9175000000000005E-4</v>
      </c>
      <c r="CA47" s="9">
        <v>6.0899999999999995E-4</v>
      </c>
      <c r="CB47" s="9">
        <v>5.9205E-4</v>
      </c>
      <c r="CC47" s="9">
        <v>6.2115E-4</v>
      </c>
      <c r="CD47" s="9">
        <v>5.9849999999999997E-4</v>
      </c>
      <c r="CE47" s="9">
        <v>5.775E-4</v>
      </c>
      <c r="CF47" s="9">
        <v>5.9130000000000001E-4</v>
      </c>
      <c r="CG47" s="9">
        <v>5.9699999999999998E-4</v>
      </c>
      <c r="CH47" s="9">
        <v>5.9369999999999996E-4</v>
      </c>
      <c r="CI47" s="9">
        <v>6.1050000000000004E-4</v>
      </c>
      <c r="CJ47" s="9">
        <v>6.198E-4</v>
      </c>
      <c r="CK47" s="9">
        <v>6.0734999999999999E-4</v>
      </c>
      <c r="CL47" s="9">
        <v>5.9685000000000001E-4</v>
      </c>
      <c r="CM47" s="9">
        <v>5.9175000000000005E-4</v>
      </c>
      <c r="CN47" s="9">
        <v>6.0179999999999999E-4</v>
      </c>
      <c r="CO47" s="9">
        <v>6.1724999999999996E-4</v>
      </c>
      <c r="CP47" s="9">
        <v>5.9489999999999999E-4</v>
      </c>
      <c r="CQ47" s="9">
        <v>5.9624999999999999E-4</v>
      </c>
      <c r="CR47" s="9">
        <v>5.9024999999999995E-4</v>
      </c>
      <c r="CS47" s="9">
        <v>5.9084999999999997E-4</v>
      </c>
      <c r="CT47" s="9">
        <v>5.7074999999999997E-4</v>
      </c>
      <c r="CU47" s="9">
        <v>5.9670000000000003E-4</v>
      </c>
      <c r="CV47" s="9">
        <v>5.9055000000000002E-4</v>
      </c>
      <c r="CW47" s="9">
        <v>5.9924999999999996E-4</v>
      </c>
      <c r="CX47" s="9">
        <v>6.0269999999999996E-4</v>
      </c>
      <c r="CY47" s="9">
        <v>5.9984999999999997E-4</v>
      </c>
    </row>
    <row r="48" spans="2:103" ht="15.75" customHeight="1">
      <c r="C48" s="12"/>
    </row>
    <row r="49" spans="2:103" ht="15.75" customHeight="1">
      <c r="B49" s="6"/>
      <c r="C49" s="12"/>
    </row>
    <row r="50" spans="2:103" ht="15.75" customHeight="1">
      <c r="C50" s="8" t="s">
        <v>17</v>
      </c>
      <c r="D50" s="1" t="s">
        <v>22</v>
      </c>
      <c r="E50" s="1" t="s">
        <v>19</v>
      </c>
    </row>
    <row r="51" spans="2:103" ht="15.75" customHeight="1">
      <c r="C51" s="8">
        <v>10</v>
      </c>
      <c r="D51">
        <f t="shared" ref="D51:D56" si="2">AVERAGE(D42:CY42)</f>
        <v>4.4999999999999999E-4</v>
      </c>
      <c r="E51" t="e">
        <f t="shared" ref="E51:E56" ca="1" si="3">_xludf.VAR.S(D42:CY42)</f>
        <v>#NAME?</v>
      </c>
    </row>
    <row r="52" spans="2:103" ht="15.75" customHeight="1">
      <c r="C52" s="8">
        <v>100</v>
      </c>
      <c r="D52">
        <f t="shared" si="2"/>
        <v>5.7000000000000019E-4</v>
      </c>
      <c r="E52" t="e">
        <f t="shared" ca="1" si="3"/>
        <v>#NAME?</v>
      </c>
      <c r="G52" s="1"/>
    </row>
    <row r="53" spans="2:103" ht="15.75" customHeight="1">
      <c r="C53" s="8">
        <v>1000</v>
      </c>
      <c r="D53">
        <f t="shared" si="2"/>
        <v>6.0150000000000015E-4</v>
      </c>
      <c r="E53" t="e">
        <f t="shared" ca="1" si="3"/>
        <v>#NAME?</v>
      </c>
      <c r="G53" s="13"/>
    </row>
    <row r="54" spans="2:103" ht="15.75" customHeight="1">
      <c r="C54" s="8">
        <v>10000</v>
      </c>
      <c r="D54">
        <f t="shared" si="2"/>
        <v>5.934E-4</v>
      </c>
      <c r="E54" t="e">
        <f t="shared" ca="1" si="3"/>
        <v>#NAME?</v>
      </c>
      <c r="G54" s="1"/>
    </row>
    <row r="55" spans="2:103" ht="15.75" customHeight="1">
      <c r="C55" s="8">
        <v>100000</v>
      </c>
      <c r="D55">
        <f t="shared" si="2"/>
        <v>6.001349999999998E-4</v>
      </c>
      <c r="E55" t="e">
        <f t="shared" ca="1" si="3"/>
        <v>#NAME?</v>
      </c>
      <c r="G55" s="1"/>
    </row>
    <row r="56" spans="2:103" ht="15.75" customHeight="1">
      <c r="C56" s="8">
        <v>1000000</v>
      </c>
      <c r="D56">
        <f t="shared" si="2"/>
        <v>5.9781750000000044E-4</v>
      </c>
      <c r="E56" t="e">
        <f t="shared" ca="1" si="3"/>
        <v>#NAME?</v>
      </c>
      <c r="G56" s="1"/>
    </row>
    <row r="57" spans="2:103" ht="15.75" customHeight="1">
      <c r="G57" s="1"/>
    </row>
    <row r="58" spans="2:103" ht="15.75" customHeight="1">
      <c r="C58" s="12"/>
      <c r="G58" s="2"/>
    </row>
    <row r="59" spans="2:103" ht="92" customHeight="1">
      <c r="B59" s="4" t="s">
        <v>23</v>
      </c>
      <c r="C59" s="12"/>
      <c r="G59" s="2"/>
    </row>
    <row r="60" spans="2:103" ht="15.75" customHeight="1">
      <c r="C60" s="12"/>
      <c r="G60" s="2"/>
    </row>
    <row r="61" spans="2:103" ht="13">
      <c r="B61" s="1" t="s">
        <v>24</v>
      </c>
      <c r="C61" s="14"/>
    </row>
    <row r="62" spans="2:103" ht="13">
      <c r="B62" s="6" t="s">
        <v>25</v>
      </c>
      <c r="C62" s="15" t="s">
        <v>16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  <c r="AA62" s="1">
        <v>24</v>
      </c>
      <c r="AB62" s="1">
        <v>25</v>
      </c>
      <c r="AC62" s="1">
        <v>26</v>
      </c>
      <c r="AD62" s="1">
        <v>27</v>
      </c>
      <c r="AE62" s="1">
        <v>28</v>
      </c>
      <c r="AF62" s="1">
        <v>29</v>
      </c>
      <c r="AG62" s="1">
        <v>30</v>
      </c>
      <c r="AH62" s="1">
        <v>31</v>
      </c>
      <c r="AI62" s="1">
        <v>32</v>
      </c>
      <c r="AJ62" s="1">
        <v>33</v>
      </c>
      <c r="AK62" s="1">
        <v>34</v>
      </c>
      <c r="AL62" s="1">
        <v>35</v>
      </c>
      <c r="AM62" s="1">
        <v>36</v>
      </c>
      <c r="AN62" s="1">
        <v>37</v>
      </c>
      <c r="AO62" s="1">
        <v>38</v>
      </c>
      <c r="AP62" s="1">
        <v>39</v>
      </c>
      <c r="AQ62" s="1">
        <v>40</v>
      </c>
      <c r="AR62" s="1">
        <v>41</v>
      </c>
      <c r="AS62" s="1">
        <v>42</v>
      </c>
      <c r="AT62" s="1">
        <v>43</v>
      </c>
      <c r="AU62" s="1">
        <v>44</v>
      </c>
      <c r="AV62" s="1">
        <v>45</v>
      </c>
      <c r="AW62" s="1">
        <v>46</v>
      </c>
      <c r="AX62" s="1">
        <v>47</v>
      </c>
      <c r="AY62" s="1">
        <v>48</v>
      </c>
      <c r="AZ62" s="1">
        <v>49</v>
      </c>
      <c r="BA62" s="1">
        <v>50</v>
      </c>
      <c r="BB62" s="1">
        <v>51</v>
      </c>
      <c r="BC62" s="1">
        <v>52</v>
      </c>
      <c r="BD62" s="1">
        <v>53</v>
      </c>
      <c r="BE62" s="1">
        <v>54</v>
      </c>
      <c r="BF62" s="1">
        <v>55</v>
      </c>
      <c r="BG62" s="1">
        <v>56</v>
      </c>
      <c r="BH62" s="1">
        <v>57</v>
      </c>
      <c r="BI62" s="1">
        <v>58</v>
      </c>
      <c r="BJ62" s="1">
        <v>59</v>
      </c>
      <c r="BK62" s="1">
        <v>60</v>
      </c>
      <c r="BL62" s="1">
        <v>61</v>
      </c>
      <c r="BM62" s="1">
        <v>62</v>
      </c>
      <c r="BN62" s="1">
        <v>63</v>
      </c>
      <c r="BO62" s="1">
        <v>64</v>
      </c>
      <c r="BP62" s="1">
        <v>65</v>
      </c>
      <c r="BQ62" s="1">
        <v>66</v>
      </c>
      <c r="BR62" s="1">
        <v>67</v>
      </c>
      <c r="BS62" s="1">
        <v>68</v>
      </c>
      <c r="BT62" s="1">
        <v>69</v>
      </c>
      <c r="BU62" s="1">
        <v>70</v>
      </c>
      <c r="BV62" s="1">
        <v>71</v>
      </c>
      <c r="BW62" s="1">
        <v>72</v>
      </c>
      <c r="BX62" s="1">
        <v>73</v>
      </c>
      <c r="BY62" s="1">
        <v>74</v>
      </c>
      <c r="BZ62" s="1">
        <v>75</v>
      </c>
      <c r="CA62" s="1">
        <v>76</v>
      </c>
      <c r="CB62" s="1">
        <v>77</v>
      </c>
      <c r="CC62" s="1">
        <v>78</v>
      </c>
      <c r="CD62" s="1">
        <v>79</v>
      </c>
      <c r="CE62" s="1">
        <v>80</v>
      </c>
      <c r="CF62" s="1">
        <v>81</v>
      </c>
      <c r="CG62" s="1">
        <v>82</v>
      </c>
      <c r="CH62" s="1">
        <v>83</v>
      </c>
      <c r="CI62" s="1">
        <v>84</v>
      </c>
      <c r="CJ62" s="1">
        <v>85</v>
      </c>
      <c r="CK62" s="1">
        <v>86</v>
      </c>
      <c r="CL62" s="1">
        <v>87</v>
      </c>
      <c r="CM62" s="1">
        <v>88</v>
      </c>
      <c r="CN62" s="1">
        <v>89</v>
      </c>
      <c r="CO62" s="1">
        <v>90</v>
      </c>
      <c r="CP62" s="1">
        <v>91</v>
      </c>
      <c r="CQ62" s="1">
        <v>92</v>
      </c>
      <c r="CR62" s="1">
        <v>93</v>
      </c>
      <c r="CS62" s="1">
        <v>94</v>
      </c>
      <c r="CT62" s="1">
        <v>95</v>
      </c>
      <c r="CU62" s="1">
        <v>96</v>
      </c>
      <c r="CV62" s="1">
        <v>97</v>
      </c>
      <c r="CW62" s="1">
        <v>98</v>
      </c>
      <c r="CX62" s="1">
        <v>99</v>
      </c>
      <c r="CY62" s="1">
        <v>100</v>
      </c>
    </row>
    <row r="63" spans="2:103" ht="13">
      <c r="C63" s="8" t="s">
        <v>17</v>
      </c>
    </row>
    <row r="64" spans="2:103" ht="13">
      <c r="C64" s="8">
        <v>10</v>
      </c>
      <c r="D64" s="9">
        <v>0.18</v>
      </c>
      <c r="E64" s="9">
        <v>0.24</v>
      </c>
      <c r="F64" s="9">
        <v>0.315</v>
      </c>
      <c r="G64" s="9">
        <v>0.19500000000000001</v>
      </c>
      <c r="H64" s="9">
        <v>0.19500000000000001</v>
      </c>
      <c r="I64" s="9">
        <v>0.21</v>
      </c>
      <c r="J64" s="9">
        <v>0.19500000000000001</v>
      </c>
      <c r="K64" s="9">
        <v>0.22500000000000001</v>
      </c>
      <c r="L64" s="9">
        <v>0.21</v>
      </c>
      <c r="M64" s="9">
        <v>0.16500000000000001</v>
      </c>
      <c r="N64" s="9">
        <v>0.24</v>
      </c>
      <c r="O64" s="9">
        <v>0.15</v>
      </c>
      <c r="P64" s="9">
        <v>0.33</v>
      </c>
      <c r="Q64" s="9">
        <v>0.36</v>
      </c>
      <c r="R64" s="9">
        <v>0.34499999999999997</v>
      </c>
      <c r="S64" s="9">
        <v>0.24</v>
      </c>
      <c r="T64" s="9">
        <v>0.21</v>
      </c>
      <c r="U64" s="9">
        <v>0.19500000000000001</v>
      </c>
      <c r="V64" s="9">
        <v>0.315</v>
      </c>
      <c r="W64" s="9">
        <v>0.315</v>
      </c>
      <c r="X64" s="9">
        <v>0.12</v>
      </c>
      <c r="Y64" s="9">
        <v>0.45</v>
      </c>
      <c r="Z64" s="9">
        <v>0.22500000000000001</v>
      </c>
      <c r="AA64" s="9">
        <v>0.40500000000000003</v>
      </c>
      <c r="AB64" s="9">
        <v>0.24</v>
      </c>
      <c r="AC64" s="9">
        <v>0.15</v>
      </c>
      <c r="AD64" s="9">
        <v>0.21</v>
      </c>
      <c r="AE64" s="9">
        <v>0.28499999999999998</v>
      </c>
      <c r="AF64" s="9">
        <v>0.27</v>
      </c>
      <c r="AG64" s="9">
        <v>0.27</v>
      </c>
      <c r="AH64" s="9">
        <v>0.21</v>
      </c>
      <c r="AI64" s="9">
        <v>0.3</v>
      </c>
      <c r="AJ64" s="9">
        <v>0.3</v>
      </c>
      <c r="AK64" s="9">
        <v>0.255</v>
      </c>
      <c r="AL64" s="9">
        <v>0.24</v>
      </c>
      <c r="AM64" s="9">
        <v>0.24</v>
      </c>
      <c r="AN64" s="9">
        <v>0.21</v>
      </c>
      <c r="AO64" s="9">
        <v>0.28499999999999998</v>
      </c>
      <c r="AP64" s="9">
        <v>0.22500000000000001</v>
      </c>
      <c r="AQ64" s="9">
        <v>0.34499999999999997</v>
      </c>
      <c r="AR64" s="9">
        <v>0.27</v>
      </c>
      <c r="AS64" s="9">
        <v>0.28499999999999998</v>
      </c>
      <c r="AT64" s="9">
        <v>0.16500000000000001</v>
      </c>
      <c r="AU64" s="9">
        <v>0.12</v>
      </c>
      <c r="AV64" s="9">
        <v>0.3</v>
      </c>
      <c r="AW64" s="9">
        <v>0.21</v>
      </c>
      <c r="AX64" s="9">
        <v>0.28499999999999998</v>
      </c>
      <c r="AY64" s="9">
        <v>0.21</v>
      </c>
      <c r="AZ64" s="9">
        <v>0.15</v>
      </c>
      <c r="BA64" s="9">
        <v>0.435</v>
      </c>
      <c r="BB64" s="9">
        <v>0.33</v>
      </c>
      <c r="BC64" s="9">
        <v>0.21</v>
      </c>
      <c r="BD64" s="9">
        <v>0.18</v>
      </c>
      <c r="BE64" s="9">
        <v>0.13500000000000001</v>
      </c>
      <c r="BF64" s="9">
        <v>0.39</v>
      </c>
      <c r="BG64" s="9">
        <v>0.435</v>
      </c>
      <c r="BH64" s="9">
        <v>0.33</v>
      </c>
      <c r="BI64" s="9">
        <v>0.435</v>
      </c>
      <c r="BJ64" s="9">
        <v>0.27</v>
      </c>
      <c r="BK64" s="9">
        <v>0.315</v>
      </c>
      <c r="BL64" s="9">
        <v>0.15</v>
      </c>
      <c r="BM64" s="9">
        <v>0.15</v>
      </c>
      <c r="BN64" s="9">
        <v>0.375</v>
      </c>
      <c r="BO64" s="9">
        <v>0.18</v>
      </c>
      <c r="BP64" s="9">
        <v>0.42</v>
      </c>
      <c r="BQ64" s="9">
        <v>0.12</v>
      </c>
      <c r="BR64" s="9">
        <v>0.13500000000000001</v>
      </c>
      <c r="BS64" s="9">
        <v>0.18</v>
      </c>
      <c r="BT64" s="9">
        <v>0.13500000000000001</v>
      </c>
      <c r="BU64" s="9">
        <v>0.27</v>
      </c>
      <c r="BV64" s="9">
        <v>0.33</v>
      </c>
      <c r="BW64" s="9">
        <v>0.27</v>
      </c>
      <c r="BX64" s="9">
        <v>0.21</v>
      </c>
      <c r="BY64" s="9">
        <v>0.21</v>
      </c>
      <c r="BZ64" s="9">
        <v>0.255</v>
      </c>
      <c r="CA64" s="9">
        <v>0.18</v>
      </c>
      <c r="CB64" s="9">
        <v>0.19500000000000001</v>
      </c>
      <c r="CC64" s="9">
        <v>0.24</v>
      </c>
      <c r="CD64" s="9">
        <v>0.24</v>
      </c>
      <c r="CE64" s="9">
        <v>0.19500000000000001</v>
      </c>
      <c r="CF64" s="9">
        <v>0.33</v>
      </c>
      <c r="CG64" s="9">
        <v>0.3</v>
      </c>
      <c r="CH64" s="9">
        <v>0.34499999999999997</v>
      </c>
      <c r="CI64" s="9">
        <v>0.255</v>
      </c>
      <c r="CJ64" s="9">
        <v>0.34499999999999997</v>
      </c>
      <c r="CK64" s="9">
        <v>0.15</v>
      </c>
      <c r="CL64" s="9">
        <v>0.33</v>
      </c>
      <c r="CM64" s="9">
        <v>0.09</v>
      </c>
      <c r="CN64" s="9">
        <v>0.375</v>
      </c>
      <c r="CO64" s="9">
        <v>0.375</v>
      </c>
      <c r="CP64" s="9">
        <v>0.28499999999999998</v>
      </c>
      <c r="CQ64" s="9">
        <v>0.28499999999999998</v>
      </c>
      <c r="CR64" s="9">
        <v>0.28499999999999998</v>
      </c>
      <c r="CS64" s="9">
        <v>0.3</v>
      </c>
      <c r="CT64" s="9">
        <v>0.28499999999999998</v>
      </c>
      <c r="CU64" s="9">
        <v>0.28499999999999998</v>
      </c>
      <c r="CV64" s="9">
        <v>0.3</v>
      </c>
      <c r="CW64" s="9">
        <v>0.34499999999999997</v>
      </c>
      <c r="CX64" s="9">
        <v>0.255</v>
      </c>
      <c r="CY64" s="9">
        <v>0.22500000000000001</v>
      </c>
    </row>
    <row r="65" spans="2:103" ht="13">
      <c r="C65" s="8">
        <v>100</v>
      </c>
      <c r="D65" s="9">
        <v>0.26850000000000002</v>
      </c>
      <c r="E65" s="9">
        <v>0.23100000000000001</v>
      </c>
      <c r="F65" s="9">
        <v>0.23549999999999999</v>
      </c>
      <c r="G65" s="9">
        <v>0.28949999999999998</v>
      </c>
      <c r="H65" s="9">
        <v>0.25650000000000001</v>
      </c>
      <c r="I65" s="9">
        <v>0.3075</v>
      </c>
      <c r="J65" s="9">
        <v>0.2475</v>
      </c>
      <c r="K65" s="9">
        <v>0.27300000000000002</v>
      </c>
      <c r="L65" s="9">
        <v>0.2445</v>
      </c>
      <c r="M65" s="9">
        <v>0.22800000000000001</v>
      </c>
      <c r="N65" s="9">
        <v>0.27450000000000002</v>
      </c>
      <c r="O65" s="9">
        <v>0.2475</v>
      </c>
      <c r="P65" s="9">
        <v>0.249</v>
      </c>
      <c r="Q65" s="9">
        <v>0.29099999999999998</v>
      </c>
      <c r="R65" s="9">
        <v>0.23250000000000001</v>
      </c>
      <c r="S65" s="9">
        <v>0.26250000000000001</v>
      </c>
      <c r="T65" s="9">
        <v>0.26850000000000002</v>
      </c>
      <c r="U65" s="9">
        <v>0.26850000000000002</v>
      </c>
      <c r="V65" s="9">
        <v>0.246</v>
      </c>
      <c r="W65" s="9">
        <v>0.252</v>
      </c>
      <c r="X65" s="9">
        <v>0.2445</v>
      </c>
      <c r="Y65" s="9">
        <v>0.32100000000000001</v>
      </c>
      <c r="Z65" s="9">
        <v>0.20100000000000001</v>
      </c>
      <c r="AA65" s="9">
        <v>0.26700000000000002</v>
      </c>
      <c r="AB65" s="9">
        <v>0.27300000000000002</v>
      </c>
      <c r="AC65" s="9">
        <v>0.33600000000000002</v>
      </c>
      <c r="AD65" s="9">
        <v>0.23699999999999999</v>
      </c>
      <c r="AE65" s="9">
        <v>0.28799999999999998</v>
      </c>
      <c r="AF65" s="9">
        <v>0.26700000000000002</v>
      </c>
      <c r="AG65" s="9">
        <v>0.24</v>
      </c>
      <c r="AH65" s="9">
        <v>0.2235</v>
      </c>
      <c r="AI65" s="9">
        <v>0.28799999999999998</v>
      </c>
      <c r="AJ65" s="9">
        <v>0.27300000000000002</v>
      </c>
      <c r="AK65" s="9">
        <v>0.27750000000000002</v>
      </c>
      <c r="AL65" s="9">
        <v>0.29249999999999998</v>
      </c>
      <c r="AM65" s="9">
        <v>0.29549999999999998</v>
      </c>
      <c r="AN65" s="9">
        <v>0.25650000000000001</v>
      </c>
      <c r="AO65" s="9">
        <v>0.255</v>
      </c>
      <c r="AP65" s="9">
        <v>0.255</v>
      </c>
      <c r="AQ65" s="9">
        <v>0.3075</v>
      </c>
      <c r="AR65" s="9">
        <v>0.252</v>
      </c>
      <c r="AS65" s="9">
        <v>0.26850000000000002</v>
      </c>
      <c r="AT65" s="9">
        <v>0.2145</v>
      </c>
      <c r="AU65" s="9">
        <v>0.27300000000000002</v>
      </c>
      <c r="AV65" s="9">
        <v>0.26700000000000002</v>
      </c>
      <c r="AW65" s="9">
        <v>0.32700000000000001</v>
      </c>
      <c r="AX65" s="9">
        <v>0.26400000000000001</v>
      </c>
      <c r="AY65" s="9">
        <v>0.2535</v>
      </c>
      <c r="AZ65" s="9">
        <v>0.23699999999999999</v>
      </c>
      <c r="BA65" s="9">
        <v>0.249</v>
      </c>
      <c r="BB65" s="9">
        <v>0.32100000000000001</v>
      </c>
      <c r="BC65" s="9">
        <v>0.28499999999999998</v>
      </c>
      <c r="BD65" s="9">
        <v>0.28949999999999998</v>
      </c>
      <c r="BE65" s="9">
        <v>0.29549999999999998</v>
      </c>
      <c r="BF65" s="9">
        <v>0.255</v>
      </c>
      <c r="BG65" s="9">
        <v>0.26850000000000002</v>
      </c>
      <c r="BH65" s="9">
        <v>0.26250000000000001</v>
      </c>
      <c r="BI65" s="9">
        <v>0.2145</v>
      </c>
      <c r="BJ65" s="9">
        <v>0.29399999999999998</v>
      </c>
      <c r="BK65" s="9">
        <v>0.28799999999999998</v>
      </c>
      <c r="BL65" s="9">
        <v>0.27750000000000002</v>
      </c>
      <c r="BM65" s="9">
        <v>0.27150000000000002</v>
      </c>
      <c r="BN65" s="9">
        <v>0.21</v>
      </c>
      <c r="BO65" s="9">
        <v>0.27150000000000002</v>
      </c>
      <c r="BP65" s="9">
        <v>0.20250000000000001</v>
      </c>
      <c r="BQ65" s="9">
        <v>0.29249999999999998</v>
      </c>
      <c r="BR65" s="9">
        <v>0.27450000000000002</v>
      </c>
      <c r="BS65" s="9">
        <v>0.25650000000000001</v>
      </c>
      <c r="BT65" s="9">
        <v>0.2235</v>
      </c>
      <c r="BU65" s="9">
        <v>0.25950000000000001</v>
      </c>
      <c r="BV65" s="9">
        <v>0.21299999999999999</v>
      </c>
      <c r="BW65" s="9">
        <v>0.20549999999999999</v>
      </c>
      <c r="BX65" s="9">
        <v>0.26400000000000001</v>
      </c>
      <c r="BY65" s="9">
        <v>0.30449999999999999</v>
      </c>
      <c r="BZ65" s="9">
        <v>0.25650000000000001</v>
      </c>
      <c r="CA65" s="9">
        <v>0.2505</v>
      </c>
      <c r="CB65" s="9">
        <v>0.27150000000000002</v>
      </c>
      <c r="CC65" s="9">
        <v>0.28050000000000003</v>
      </c>
      <c r="CD65" s="9">
        <v>0.29699999999999999</v>
      </c>
      <c r="CE65" s="9">
        <v>0.27600000000000002</v>
      </c>
      <c r="CF65" s="9">
        <v>0.2235</v>
      </c>
      <c r="CG65" s="9">
        <v>0.26700000000000002</v>
      </c>
      <c r="CH65" s="9">
        <v>0.27450000000000002</v>
      </c>
      <c r="CI65" s="9">
        <v>0.2535</v>
      </c>
      <c r="CJ65" s="9">
        <v>0.26250000000000001</v>
      </c>
      <c r="CK65" s="9">
        <v>0.2475</v>
      </c>
      <c r="CL65" s="9">
        <v>0.2505</v>
      </c>
      <c r="CM65" s="9">
        <v>0.26250000000000001</v>
      </c>
      <c r="CN65" s="9">
        <v>0.27450000000000002</v>
      </c>
      <c r="CO65" s="9">
        <v>0.27150000000000002</v>
      </c>
      <c r="CP65" s="9">
        <v>0.26850000000000002</v>
      </c>
      <c r="CQ65" s="9">
        <v>0.29549999999999998</v>
      </c>
      <c r="CR65" s="9">
        <v>0.27750000000000002</v>
      </c>
      <c r="CS65" s="9">
        <v>0.2505</v>
      </c>
      <c r="CT65" s="9">
        <v>0.21299999999999999</v>
      </c>
      <c r="CU65" s="9">
        <v>0.2235</v>
      </c>
      <c r="CV65" s="9">
        <v>0.22650000000000001</v>
      </c>
      <c r="CW65" s="9">
        <v>0.23400000000000001</v>
      </c>
      <c r="CX65" s="9">
        <v>0.2445</v>
      </c>
      <c r="CY65" s="9">
        <v>0.2175</v>
      </c>
    </row>
    <row r="66" spans="2:103" ht="13">
      <c r="C66" s="8">
        <v>1000</v>
      </c>
      <c r="D66" s="9">
        <v>0.26534999999999997</v>
      </c>
      <c r="E66" s="9">
        <v>0.25080000000000002</v>
      </c>
      <c r="F66" s="9">
        <v>0.25185000000000002</v>
      </c>
      <c r="G66" s="9">
        <v>0.26445000000000002</v>
      </c>
      <c r="H66" s="9">
        <v>0.26984999999999998</v>
      </c>
      <c r="I66" s="9">
        <v>0.26085000000000003</v>
      </c>
      <c r="J66" s="9">
        <v>0.24765000000000001</v>
      </c>
      <c r="K66" s="9">
        <v>0.26429999999999998</v>
      </c>
      <c r="L66" s="9">
        <v>0.26834999999999998</v>
      </c>
      <c r="M66" s="9">
        <v>0.2601</v>
      </c>
      <c r="N66" s="9">
        <v>0.26279999999999998</v>
      </c>
      <c r="O66" s="9">
        <v>0.25755</v>
      </c>
      <c r="P66" s="9">
        <v>0.2676</v>
      </c>
      <c r="Q66" s="9">
        <v>0.26279999999999998</v>
      </c>
      <c r="R66" s="9">
        <v>0.25919999999999999</v>
      </c>
      <c r="S66" s="9">
        <v>0.2475</v>
      </c>
      <c r="T66" s="9">
        <v>0.25485000000000002</v>
      </c>
      <c r="U66" s="9">
        <v>0.26445000000000002</v>
      </c>
      <c r="V66" s="9">
        <v>0.24929999999999999</v>
      </c>
      <c r="W66" s="9">
        <v>0.26085000000000003</v>
      </c>
      <c r="X66" s="9">
        <v>0.25545000000000001</v>
      </c>
      <c r="Y66" s="9">
        <v>0.26939999999999997</v>
      </c>
      <c r="Z66" s="9">
        <v>0.2472</v>
      </c>
      <c r="AA66" s="9">
        <v>0.26445000000000002</v>
      </c>
      <c r="AB66" s="9">
        <v>0.24045</v>
      </c>
      <c r="AC66" s="9">
        <v>0.25740000000000002</v>
      </c>
      <c r="AD66" s="9">
        <v>0.25964999999999999</v>
      </c>
      <c r="AE66" s="9">
        <v>0.26324999999999998</v>
      </c>
      <c r="AF66" s="9">
        <v>0.2601</v>
      </c>
      <c r="AG66" s="9">
        <v>0.26655000000000001</v>
      </c>
      <c r="AH66" s="9">
        <v>0.27389999999999998</v>
      </c>
      <c r="AI66" s="9">
        <v>0.25785000000000002</v>
      </c>
      <c r="AJ66" s="9">
        <v>0.26624999999999999</v>
      </c>
      <c r="AK66" s="9">
        <v>0.26279999999999998</v>
      </c>
      <c r="AL66" s="9">
        <v>0.26295000000000002</v>
      </c>
      <c r="AM66" s="9">
        <v>0.25800000000000001</v>
      </c>
      <c r="AN66" s="9">
        <v>0.25919999999999999</v>
      </c>
      <c r="AO66" s="9">
        <v>0.2697</v>
      </c>
      <c r="AP66" s="9">
        <v>0.26505000000000001</v>
      </c>
      <c r="AQ66" s="9">
        <v>0.2397</v>
      </c>
      <c r="AR66" s="9">
        <v>0.25874999999999998</v>
      </c>
      <c r="AS66" s="9">
        <v>0.25769999999999998</v>
      </c>
      <c r="AT66" s="9">
        <v>0.25664999999999999</v>
      </c>
      <c r="AU66" s="9">
        <v>0.26474999999999999</v>
      </c>
      <c r="AV66" s="9">
        <v>0.2646</v>
      </c>
      <c r="AW66" s="9">
        <v>0.25650000000000001</v>
      </c>
      <c r="AX66" s="9">
        <v>0.27434999999999998</v>
      </c>
      <c r="AY66" s="9">
        <v>0.25695000000000001</v>
      </c>
      <c r="AZ66" s="9">
        <v>0.26040000000000002</v>
      </c>
      <c r="BA66" s="9">
        <v>0.27029999999999998</v>
      </c>
      <c r="BB66" s="9">
        <v>0.26190000000000002</v>
      </c>
      <c r="BC66" s="9">
        <v>0.2475</v>
      </c>
      <c r="BD66" s="9">
        <v>0.26490000000000002</v>
      </c>
      <c r="BE66" s="9">
        <v>0.26085000000000003</v>
      </c>
      <c r="BF66" s="9">
        <v>0.25305</v>
      </c>
      <c r="BG66" s="9">
        <v>0.25785000000000002</v>
      </c>
      <c r="BH66" s="9">
        <v>0.24629999999999999</v>
      </c>
      <c r="BI66" s="9">
        <v>0.27060000000000001</v>
      </c>
      <c r="BJ66" s="9">
        <v>0.27284999999999998</v>
      </c>
      <c r="BK66" s="9">
        <v>0.26745000000000002</v>
      </c>
      <c r="BL66" s="9">
        <v>0.26174999999999998</v>
      </c>
      <c r="BM66" s="9">
        <v>0.24675</v>
      </c>
      <c r="BN66" s="9">
        <v>0.26174999999999998</v>
      </c>
      <c r="BO66" s="9">
        <v>0.27450000000000002</v>
      </c>
      <c r="BP66" s="9">
        <v>0.26519999999999999</v>
      </c>
      <c r="BQ66" s="9">
        <v>0.26939999999999997</v>
      </c>
      <c r="BR66" s="9">
        <v>0.26295000000000002</v>
      </c>
      <c r="BS66" s="9">
        <v>0.2571</v>
      </c>
      <c r="BT66" s="9">
        <v>0.2646</v>
      </c>
      <c r="BU66" s="9">
        <v>0.26939999999999997</v>
      </c>
      <c r="BV66" s="9">
        <v>0.26745000000000002</v>
      </c>
      <c r="BW66" s="9">
        <v>0.2487</v>
      </c>
      <c r="BX66" s="9">
        <v>0.25935000000000002</v>
      </c>
      <c r="BY66" s="9">
        <v>0.2646</v>
      </c>
      <c r="BZ66" s="9">
        <v>0.26324999999999998</v>
      </c>
      <c r="CA66" s="9">
        <v>0.26850000000000002</v>
      </c>
      <c r="CB66" s="9">
        <v>0.25035000000000002</v>
      </c>
      <c r="CC66" s="9">
        <v>0.26235000000000003</v>
      </c>
      <c r="CD66" s="9">
        <v>0.25380000000000003</v>
      </c>
      <c r="CE66" s="9">
        <v>0.26729999999999998</v>
      </c>
      <c r="CF66" s="9">
        <v>0.26834999999999998</v>
      </c>
      <c r="CG66" s="9">
        <v>0.26534999999999997</v>
      </c>
      <c r="CH66" s="9">
        <v>0.25080000000000002</v>
      </c>
      <c r="CI66" s="9">
        <v>0.2757</v>
      </c>
      <c r="CJ66" s="9">
        <v>0.25440000000000002</v>
      </c>
      <c r="CK66" s="9">
        <v>0.252</v>
      </c>
      <c r="CL66" s="9">
        <v>0.2661</v>
      </c>
      <c r="CM66" s="9">
        <v>0.26085000000000003</v>
      </c>
      <c r="CN66" s="9">
        <v>0.26355000000000001</v>
      </c>
      <c r="CO66" s="9">
        <v>0.2757</v>
      </c>
      <c r="CP66" s="9">
        <v>0.24915000000000001</v>
      </c>
      <c r="CQ66" s="9">
        <v>0.2661</v>
      </c>
      <c r="CR66" s="9">
        <v>0.2535</v>
      </c>
      <c r="CS66" s="9">
        <v>0.25890000000000002</v>
      </c>
      <c r="CT66" s="9">
        <v>0.25905</v>
      </c>
      <c r="CU66" s="9">
        <v>0.26190000000000002</v>
      </c>
      <c r="CV66" s="9">
        <v>0.25845000000000001</v>
      </c>
      <c r="CW66" s="9">
        <v>0.28620000000000001</v>
      </c>
      <c r="CX66" s="9">
        <v>0.24540000000000001</v>
      </c>
      <c r="CY66" s="9">
        <v>0.25769999999999998</v>
      </c>
    </row>
    <row r="67" spans="2:103" ht="13">
      <c r="C67" s="8">
        <v>10000</v>
      </c>
      <c r="D67" s="9">
        <v>0.25752000000000003</v>
      </c>
      <c r="E67" s="9">
        <v>0.26423999999999997</v>
      </c>
      <c r="F67" s="9">
        <v>0.26692500000000002</v>
      </c>
      <c r="G67" s="9">
        <v>0.25931999999999999</v>
      </c>
      <c r="H67" s="9">
        <v>0.26121</v>
      </c>
      <c r="I67" s="9">
        <v>0.26065500000000003</v>
      </c>
      <c r="J67" s="9">
        <v>0.26527499999999998</v>
      </c>
      <c r="K67" s="9">
        <v>0.26129999999999998</v>
      </c>
      <c r="L67" s="9">
        <v>0.26102999999999998</v>
      </c>
      <c r="M67" s="9">
        <v>0.26462999999999998</v>
      </c>
      <c r="N67" s="9">
        <v>0.26092500000000002</v>
      </c>
      <c r="O67" s="9">
        <v>0.26287500000000003</v>
      </c>
      <c r="P67" s="9">
        <v>0.25958999999999999</v>
      </c>
      <c r="Q67" s="9">
        <v>0.26363999999999999</v>
      </c>
      <c r="R67" s="9">
        <v>0.26147999999999999</v>
      </c>
      <c r="S67" s="9">
        <v>0.26384999999999997</v>
      </c>
      <c r="T67" s="9">
        <v>0.26137500000000002</v>
      </c>
      <c r="U67" s="9">
        <v>0.26480999999999999</v>
      </c>
      <c r="V67" s="9">
        <v>0.26143499999999997</v>
      </c>
      <c r="W67" s="9">
        <v>0.26050499999999999</v>
      </c>
      <c r="X67" s="9">
        <v>0.26622000000000001</v>
      </c>
      <c r="Y67" s="9">
        <v>0.26410499999999998</v>
      </c>
      <c r="Z67" s="9">
        <v>0.26245499999999999</v>
      </c>
      <c r="AA67" s="9">
        <v>0.26462999999999998</v>
      </c>
      <c r="AB67" s="9">
        <v>0.26036999999999999</v>
      </c>
      <c r="AC67" s="9">
        <v>0.26049</v>
      </c>
      <c r="AD67" s="9">
        <v>0.26017499999999999</v>
      </c>
      <c r="AE67" s="9">
        <v>0.26717999999999997</v>
      </c>
      <c r="AF67" s="9">
        <v>0.26248500000000002</v>
      </c>
      <c r="AG67" s="9">
        <v>0.26250000000000001</v>
      </c>
      <c r="AH67" s="9">
        <v>0.25808999999999999</v>
      </c>
      <c r="AI67" s="9">
        <v>0.25755</v>
      </c>
      <c r="AJ67" s="9">
        <v>0.26356499999999999</v>
      </c>
      <c r="AK67" s="9">
        <v>0.26271</v>
      </c>
      <c r="AL67" s="9">
        <v>0.26152500000000001</v>
      </c>
      <c r="AM67" s="9">
        <v>0.26206499999999999</v>
      </c>
      <c r="AN67" s="9">
        <v>0.26118000000000002</v>
      </c>
      <c r="AO67" s="9">
        <v>0.25806000000000001</v>
      </c>
      <c r="AP67" s="9">
        <v>0.26464500000000002</v>
      </c>
      <c r="AQ67" s="9">
        <v>0.26527499999999998</v>
      </c>
      <c r="AR67" s="9">
        <v>0.26443499999999998</v>
      </c>
      <c r="AS67" s="9">
        <v>0.264405</v>
      </c>
      <c r="AT67" s="9">
        <v>0.26279999999999998</v>
      </c>
      <c r="AU67" s="9">
        <v>0.25841999999999998</v>
      </c>
      <c r="AV67" s="9">
        <v>0.26278499999999999</v>
      </c>
      <c r="AW67" s="9">
        <v>0.26640000000000003</v>
      </c>
      <c r="AX67" s="9">
        <v>0.26125500000000001</v>
      </c>
      <c r="AY67" s="9">
        <v>0.26585999999999999</v>
      </c>
      <c r="AZ67" s="9">
        <v>0.26749499999999998</v>
      </c>
      <c r="BA67" s="9">
        <v>0.26457000000000003</v>
      </c>
      <c r="BB67" s="9">
        <v>0.26196000000000003</v>
      </c>
      <c r="BC67" s="9">
        <v>0.26302500000000001</v>
      </c>
      <c r="BD67" s="9">
        <v>0.26023499999999999</v>
      </c>
      <c r="BE67" s="9">
        <v>0.26338499999999998</v>
      </c>
      <c r="BF67" s="9">
        <v>0.26396999999999998</v>
      </c>
      <c r="BG67" s="9">
        <v>0.26092500000000002</v>
      </c>
      <c r="BH67" s="9">
        <v>0.26157000000000002</v>
      </c>
      <c r="BI67" s="9">
        <v>0.26340000000000002</v>
      </c>
      <c r="BJ67" s="9">
        <v>0.264735</v>
      </c>
      <c r="BK67" s="9">
        <v>0.26669999999999999</v>
      </c>
      <c r="BL67" s="9">
        <v>0.25762499999999999</v>
      </c>
      <c r="BM67" s="9">
        <v>0.25874999999999998</v>
      </c>
      <c r="BN67" s="9">
        <v>0.26544000000000001</v>
      </c>
      <c r="BO67" s="9">
        <v>0.26085000000000003</v>
      </c>
      <c r="BP67" s="9">
        <v>0.25900499999999999</v>
      </c>
      <c r="BQ67" s="9">
        <v>0.26729999999999998</v>
      </c>
      <c r="BR67" s="9">
        <v>0.26149499999999998</v>
      </c>
      <c r="BS67" s="9">
        <v>0.26573999999999998</v>
      </c>
      <c r="BT67" s="9">
        <v>0.26663999999999999</v>
      </c>
      <c r="BU67" s="9">
        <v>0.26464500000000002</v>
      </c>
      <c r="BV67" s="9">
        <v>0.26840999999999998</v>
      </c>
      <c r="BW67" s="9">
        <v>0.26322000000000001</v>
      </c>
      <c r="BX67" s="9">
        <v>0.25759500000000002</v>
      </c>
      <c r="BY67" s="9">
        <v>0.25878000000000001</v>
      </c>
      <c r="BZ67" s="9">
        <v>0.25891500000000001</v>
      </c>
      <c r="CA67" s="9">
        <v>0.26437500000000003</v>
      </c>
      <c r="CB67" s="9">
        <v>0.26359500000000002</v>
      </c>
      <c r="CC67" s="9">
        <v>0.25948500000000002</v>
      </c>
      <c r="CD67" s="9">
        <v>0.259965</v>
      </c>
      <c r="CE67" s="9">
        <v>0.26104500000000003</v>
      </c>
      <c r="CF67" s="9">
        <v>0.26002500000000001</v>
      </c>
      <c r="CG67" s="9">
        <v>0.26335500000000001</v>
      </c>
      <c r="CH67" s="9">
        <v>0.25892999999999999</v>
      </c>
      <c r="CI67" s="9">
        <v>0.26827499999999999</v>
      </c>
      <c r="CJ67" s="9">
        <v>0.262515</v>
      </c>
      <c r="CK67" s="9">
        <v>0.26053500000000002</v>
      </c>
      <c r="CL67" s="9">
        <v>0.26679000000000003</v>
      </c>
      <c r="CM67" s="9">
        <v>0.25956000000000001</v>
      </c>
      <c r="CN67" s="9">
        <v>0.26316000000000001</v>
      </c>
      <c r="CO67" s="9">
        <v>0.26341500000000001</v>
      </c>
      <c r="CP67" s="9">
        <v>0.26018999999999998</v>
      </c>
      <c r="CQ67" s="9">
        <v>0.26408999999999999</v>
      </c>
      <c r="CR67" s="9">
        <v>0.262845</v>
      </c>
      <c r="CS67" s="9">
        <v>0.26235000000000003</v>
      </c>
      <c r="CT67" s="9">
        <v>0.26340000000000002</v>
      </c>
      <c r="CU67" s="9">
        <v>0.26139000000000001</v>
      </c>
      <c r="CV67" s="9">
        <v>0.26312999999999998</v>
      </c>
      <c r="CW67" s="9">
        <v>0.26032499999999997</v>
      </c>
      <c r="CX67" s="9">
        <v>0.26293499999999997</v>
      </c>
      <c r="CY67" s="9">
        <v>0.25566</v>
      </c>
    </row>
    <row r="68" spans="2:103" ht="13">
      <c r="C68" s="8">
        <v>100000</v>
      </c>
      <c r="D68" s="9">
        <v>0.26117499999999999</v>
      </c>
      <c r="E68" s="9">
        <v>0.26294499999999998</v>
      </c>
      <c r="F68" s="9">
        <v>0.26271099999999997</v>
      </c>
      <c r="G68" s="9">
        <v>0.26161600000000002</v>
      </c>
      <c r="H68" s="9">
        <v>0.263544</v>
      </c>
      <c r="I68" s="9">
        <v>0.26199699999999998</v>
      </c>
      <c r="J68" s="9">
        <v>0.26228800000000002</v>
      </c>
      <c r="K68" s="9">
        <v>0.26318399999999997</v>
      </c>
      <c r="L68" s="9">
        <v>0.26239000000000001</v>
      </c>
      <c r="M68" s="9">
        <v>0.26319700000000001</v>
      </c>
      <c r="N68" s="9">
        <v>0.26236199999999998</v>
      </c>
      <c r="O68" s="9">
        <v>0.26208300000000001</v>
      </c>
      <c r="P68" s="9">
        <v>0.26084499999999999</v>
      </c>
      <c r="Q68" s="9">
        <v>0.26297799999999999</v>
      </c>
      <c r="R68" s="9">
        <v>0.26224199999999998</v>
      </c>
      <c r="S68" s="9">
        <v>0.26211899999999999</v>
      </c>
      <c r="T68" s="9">
        <v>0.26114199999999999</v>
      </c>
      <c r="U68" s="9">
        <v>0.26329799999999998</v>
      </c>
      <c r="V68" s="9">
        <v>0.26112000000000002</v>
      </c>
      <c r="W68" s="9">
        <v>0.263125</v>
      </c>
      <c r="X68" s="9">
        <v>0.26159100000000002</v>
      </c>
      <c r="Y68" s="9">
        <v>0.26250000000000001</v>
      </c>
      <c r="Z68" s="9">
        <v>0.261069</v>
      </c>
      <c r="AA68" s="9">
        <v>0.261735</v>
      </c>
      <c r="AB68" s="9">
        <v>0.26064300000000001</v>
      </c>
      <c r="AC68" s="9">
        <v>0.26160600000000001</v>
      </c>
      <c r="AD68" s="9">
        <v>0.26308599999999999</v>
      </c>
      <c r="AE68" s="9">
        <v>0.262629</v>
      </c>
      <c r="AF68" s="9">
        <v>0.26183699999999999</v>
      </c>
      <c r="AG68" s="9">
        <v>0.26089600000000002</v>
      </c>
      <c r="AH68" s="9">
        <v>0.263185</v>
      </c>
      <c r="AI68" s="9">
        <v>0.262179</v>
      </c>
      <c r="AJ68" s="9">
        <v>0.26373600000000003</v>
      </c>
      <c r="AK68" s="9">
        <v>0.26327699999999998</v>
      </c>
      <c r="AL68" s="9">
        <v>0.26241100000000001</v>
      </c>
      <c r="AM68" s="9">
        <v>0.262851</v>
      </c>
      <c r="AN68" s="9">
        <v>0.26221299999999997</v>
      </c>
      <c r="AO68" s="9">
        <v>0.260328</v>
      </c>
      <c r="AP68" s="9">
        <v>0.26220900000000003</v>
      </c>
      <c r="AQ68" s="9">
        <v>0.26338</v>
      </c>
      <c r="AR68" s="9">
        <v>0.26244600000000001</v>
      </c>
      <c r="AS68" s="9">
        <v>0.263907</v>
      </c>
      <c r="AT68" s="9">
        <v>0.26200899999999999</v>
      </c>
      <c r="AU68" s="9">
        <v>0.260847</v>
      </c>
      <c r="AV68" s="9">
        <v>0.26280399999999998</v>
      </c>
      <c r="AW68" s="9">
        <v>0.262932</v>
      </c>
      <c r="AX68" s="9">
        <v>0.26261499999999999</v>
      </c>
      <c r="AY68" s="9">
        <v>0.26278499999999999</v>
      </c>
      <c r="AZ68" s="9">
        <v>0.26172000000000001</v>
      </c>
      <c r="BA68" s="9">
        <v>0.26088699999999998</v>
      </c>
      <c r="BB68" s="9">
        <v>0.262992</v>
      </c>
      <c r="BC68" s="9">
        <v>0.26267499999999999</v>
      </c>
      <c r="BD68" s="9">
        <v>0.26221499999999998</v>
      </c>
      <c r="BE68" s="9">
        <v>0.26256600000000002</v>
      </c>
      <c r="BF68" s="9">
        <v>0.26179000000000002</v>
      </c>
      <c r="BG68" s="9">
        <v>0.26002900000000001</v>
      </c>
      <c r="BH68" s="9">
        <v>0.26097399999999998</v>
      </c>
      <c r="BI68" s="9">
        <v>0.26069500000000001</v>
      </c>
      <c r="BJ68" s="9">
        <v>0.26144200000000001</v>
      </c>
      <c r="BK68" s="9">
        <v>0.26239499999999999</v>
      </c>
      <c r="BL68" s="9">
        <v>0.26161000000000001</v>
      </c>
      <c r="BM68" s="9">
        <v>0.26229000000000002</v>
      </c>
      <c r="BN68" s="9">
        <v>0.263295</v>
      </c>
      <c r="BO68" s="9">
        <v>0.262459</v>
      </c>
      <c r="BP68" s="9">
        <v>0.26299299999999998</v>
      </c>
      <c r="BQ68" s="9">
        <v>0.26189800000000002</v>
      </c>
      <c r="BR68" s="9">
        <v>0.26008599999999998</v>
      </c>
      <c r="BS68" s="9">
        <v>0.260382</v>
      </c>
      <c r="BT68" s="9">
        <v>0.26430700000000001</v>
      </c>
      <c r="BU68" s="9">
        <v>0.26208900000000002</v>
      </c>
      <c r="BV68" s="9">
        <v>0.26270700000000002</v>
      </c>
      <c r="BW68" s="9">
        <v>0.26213399999999998</v>
      </c>
      <c r="BX68" s="9">
        <v>0.26157000000000002</v>
      </c>
      <c r="BY68" s="9">
        <v>0.26211899999999999</v>
      </c>
      <c r="BZ68" s="9">
        <v>0.26225500000000002</v>
      </c>
      <c r="CA68" s="9">
        <v>0.262015</v>
      </c>
      <c r="CB68" s="9">
        <v>0.26179599999999997</v>
      </c>
      <c r="CC68" s="9">
        <v>0.26329900000000001</v>
      </c>
      <c r="CD68" s="9">
        <v>0.26103700000000002</v>
      </c>
      <c r="CE68" s="9">
        <v>0.26269500000000001</v>
      </c>
      <c r="CF68" s="9">
        <v>0.26112299999999999</v>
      </c>
      <c r="CG68" s="9">
        <v>0.26213700000000001</v>
      </c>
      <c r="CH68" s="9">
        <v>0.26230799999999999</v>
      </c>
      <c r="CI68" s="9">
        <v>0.26319999999999999</v>
      </c>
      <c r="CJ68" s="9">
        <v>0.26291999999999999</v>
      </c>
      <c r="CK68" s="9">
        <v>0.26169399999999998</v>
      </c>
      <c r="CL68" s="9">
        <v>0.263322</v>
      </c>
      <c r="CM68" s="9">
        <v>0.26253100000000001</v>
      </c>
      <c r="CN68" s="9">
        <v>0.26283899999999999</v>
      </c>
      <c r="CO68" s="9">
        <v>0.26210800000000001</v>
      </c>
      <c r="CP68" s="9">
        <v>0.26304100000000002</v>
      </c>
      <c r="CQ68" s="9">
        <v>0.26239000000000001</v>
      </c>
      <c r="CR68" s="9">
        <v>0.262515</v>
      </c>
      <c r="CS68" s="9">
        <v>0.26231500000000002</v>
      </c>
      <c r="CT68" s="9">
        <v>0.262401</v>
      </c>
      <c r="CU68" s="9">
        <v>0.26235399999999998</v>
      </c>
      <c r="CV68" s="9">
        <v>0.26081199999999999</v>
      </c>
      <c r="CW68" s="9">
        <v>0.26169399999999998</v>
      </c>
      <c r="CX68" s="9">
        <v>0.26130100000000001</v>
      </c>
      <c r="CY68" s="9">
        <v>0.26178600000000002</v>
      </c>
    </row>
    <row r="69" spans="2:103" ht="13">
      <c r="C69" s="8">
        <v>1000000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</row>
    <row r="70" spans="2:103" ht="13">
      <c r="C70" s="12"/>
    </row>
    <row r="71" spans="2:103" ht="13">
      <c r="B71" s="6"/>
      <c r="C71" s="12"/>
      <c r="F71" s="6"/>
      <c r="G71" s="12"/>
    </row>
    <row r="72" spans="2:103" ht="13">
      <c r="C72" s="8" t="s">
        <v>17</v>
      </c>
      <c r="D72" s="1" t="s">
        <v>22</v>
      </c>
      <c r="E72" s="1" t="s">
        <v>19</v>
      </c>
      <c r="G72" s="8"/>
    </row>
    <row r="73" spans="2:103" ht="13">
      <c r="C73" s="8">
        <v>10</v>
      </c>
      <c r="D73">
        <f t="shared" ref="D73:D77" si="4">AVERAGE(D64:CY64)</f>
        <v>0.25710000000000005</v>
      </c>
      <c r="E73" t="e">
        <f t="shared" ref="E73:E77" ca="1" si="5">_xludf.VAR.S(D64:CY64)</f>
        <v>#NAME?</v>
      </c>
      <c r="G73" s="8"/>
    </row>
    <row r="74" spans="2:103" ht="13">
      <c r="C74" s="8">
        <v>100</v>
      </c>
      <c r="D74">
        <f t="shared" si="4"/>
        <v>0.26148000000000005</v>
      </c>
      <c r="E74" t="e">
        <f t="shared" ca="1" si="5"/>
        <v>#NAME?</v>
      </c>
      <c r="G74" s="8"/>
    </row>
    <row r="75" spans="2:103" ht="13">
      <c r="C75" s="8">
        <v>1000</v>
      </c>
      <c r="D75">
        <f t="shared" si="4"/>
        <v>0.26082150000000009</v>
      </c>
      <c r="E75" t="e">
        <f t="shared" ca="1" si="5"/>
        <v>#NAME?</v>
      </c>
      <c r="G75" s="8"/>
    </row>
    <row r="76" spans="2:103" ht="13">
      <c r="C76" s="8">
        <v>10000</v>
      </c>
      <c r="D76">
        <f t="shared" si="4"/>
        <v>0.26241945000000005</v>
      </c>
      <c r="E76" t="e">
        <f t="shared" ca="1" si="5"/>
        <v>#NAME?</v>
      </c>
      <c r="G76" s="8"/>
    </row>
    <row r="77" spans="2:103" ht="13">
      <c r="C77" s="8">
        <v>100000</v>
      </c>
      <c r="D77">
        <f t="shared" si="4"/>
        <v>0.26218273999999991</v>
      </c>
      <c r="E77" t="e">
        <f t="shared" ca="1" si="5"/>
        <v>#NAME?</v>
      </c>
      <c r="G77" s="8"/>
    </row>
    <row r="78" spans="2:103" ht="13">
      <c r="C78" s="8"/>
      <c r="H78" s="2"/>
    </row>
    <row r="79" spans="2:103" ht="13">
      <c r="C79" s="8"/>
      <c r="H79" s="2"/>
    </row>
    <row r="80" spans="2:103" ht="13">
      <c r="H80" s="2"/>
    </row>
    <row r="81" spans="1:103" ht="13">
      <c r="H81" s="2"/>
    </row>
    <row r="82" spans="1:103" ht="13">
      <c r="H82" s="2"/>
    </row>
    <row r="83" spans="1:103" ht="13">
      <c r="B83" s="16"/>
      <c r="H83" s="2"/>
    </row>
    <row r="84" spans="1:103" ht="64">
      <c r="A84" s="17"/>
      <c r="B84" s="18" t="s">
        <v>26</v>
      </c>
      <c r="C84" s="19"/>
      <c r="D84" s="20"/>
      <c r="E84" s="20"/>
      <c r="F84" s="20"/>
      <c r="G84" s="20"/>
      <c r="H84" s="21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</row>
    <row r="85" spans="1:103" ht="13">
      <c r="A85" s="17"/>
      <c r="B85" s="17"/>
      <c r="C85" s="17"/>
      <c r="D85" s="17"/>
      <c r="E85" s="17"/>
      <c r="F85" s="17"/>
      <c r="G85" s="17"/>
      <c r="H85" s="21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</row>
    <row r="86" spans="1:103" ht="30">
      <c r="A86" s="17"/>
      <c r="B86" s="22" t="s">
        <v>13</v>
      </c>
      <c r="C86" s="2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4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</row>
    <row r="87" spans="1:103" ht="13">
      <c r="A87" s="17"/>
      <c r="B87" s="17"/>
      <c r="C87" s="24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4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</row>
    <row r="88" spans="1:103" ht="13">
      <c r="A88" s="2"/>
      <c r="B88" s="25" t="s">
        <v>27</v>
      </c>
      <c r="C88" s="26"/>
      <c r="D88" s="17"/>
      <c r="E88" s="17"/>
      <c r="F88" s="17"/>
      <c r="G88" s="21"/>
      <c r="H88" s="21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</row>
    <row r="89" spans="1:103" ht="13">
      <c r="A89" s="2"/>
      <c r="B89" s="27" t="s">
        <v>15</v>
      </c>
      <c r="C89" s="28" t="s">
        <v>16</v>
      </c>
      <c r="D89" s="29">
        <v>1</v>
      </c>
      <c r="E89" s="29">
        <v>2</v>
      </c>
      <c r="F89" s="29">
        <v>3</v>
      </c>
      <c r="G89" s="30">
        <v>4</v>
      </c>
      <c r="H89" s="30">
        <v>5</v>
      </c>
      <c r="I89" s="29">
        <v>6</v>
      </c>
      <c r="J89" s="29">
        <v>7</v>
      </c>
      <c r="K89" s="29">
        <v>8</v>
      </c>
      <c r="L89" s="29">
        <v>9</v>
      </c>
      <c r="M89" s="29">
        <v>10</v>
      </c>
      <c r="N89" s="29">
        <v>11</v>
      </c>
      <c r="O89" s="29">
        <v>12</v>
      </c>
      <c r="P89" s="29">
        <v>13</v>
      </c>
      <c r="Q89" s="29">
        <v>14</v>
      </c>
      <c r="R89" s="29">
        <v>15</v>
      </c>
      <c r="S89" s="29">
        <v>16</v>
      </c>
      <c r="T89" s="29">
        <v>17</v>
      </c>
      <c r="U89" s="29">
        <v>18</v>
      </c>
      <c r="V89" s="29">
        <v>19</v>
      </c>
      <c r="W89" s="29">
        <v>20</v>
      </c>
      <c r="X89" s="29">
        <v>21</v>
      </c>
      <c r="Y89" s="29">
        <v>22</v>
      </c>
      <c r="Z89" s="29">
        <v>23</v>
      </c>
      <c r="AA89" s="29">
        <v>24</v>
      </c>
      <c r="AB89" s="29">
        <v>25</v>
      </c>
      <c r="AC89" s="29">
        <v>26</v>
      </c>
      <c r="AD89" s="29">
        <v>27</v>
      </c>
      <c r="AE89" s="29">
        <v>28</v>
      </c>
      <c r="AF89" s="29">
        <v>29</v>
      </c>
      <c r="AG89" s="29">
        <v>30</v>
      </c>
      <c r="AH89" s="29">
        <v>31</v>
      </c>
      <c r="AI89" s="29">
        <v>32</v>
      </c>
      <c r="AJ89" s="29">
        <v>33</v>
      </c>
      <c r="AK89" s="29">
        <v>34</v>
      </c>
      <c r="AL89" s="29">
        <v>35</v>
      </c>
      <c r="AM89" s="29">
        <v>36</v>
      </c>
      <c r="AN89" s="29">
        <v>37</v>
      </c>
      <c r="AO89" s="29">
        <v>38</v>
      </c>
      <c r="AP89" s="29">
        <v>39</v>
      </c>
      <c r="AQ89" s="29">
        <v>40</v>
      </c>
      <c r="AR89" s="29">
        <v>41</v>
      </c>
      <c r="AS89" s="29">
        <v>42</v>
      </c>
      <c r="AT89" s="29">
        <v>43</v>
      </c>
      <c r="AU89" s="29">
        <v>44</v>
      </c>
      <c r="AV89" s="29">
        <v>45</v>
      </c>
      <c r="AW89" s="29">
        <v>46</v>
      </c>
      <c r="AX89" s="29">
        <v>47</v>
      </c>
      <c r="AY89" s="29">
        <v>48</v>
      </c>
      <c r="AZ89" s="29">
        <v>49</v>
      </c>
      <c r="BA89" s="29">
        <v>50</v>
      </c>
      <c r="BB89" s="29">
        <v>51</v>
      </c>
      <c r="BC89" s="29">
        <v>52</v>
      </c>
      <c r="BD89" s="29">
        <v>53</v>
      </c>
      <c r="BE89" s="29">
        <v>54</v>
      </c>
      <c r="BF89" s="29">
        <v>55</v>
      </c>
      <c r="BG89" s="29">
        <v>56</v>
      </c>
      <c r="BH89" s="29">
        <v>57</v>
      </c>
      <c r="BI89" s="29">
        <v>58</v>
      </c>
      <c r="BJ89" s="29">
        <v>59</v>
      </c>
      <c r="BK89" s="29">
        <v>60</v>
      </c>
      <c r="BL89" s="29">
        <v>61</v>
      </c>
      <c r="BM89" s="29">
        <v>62</v>
      </c>
      <c r="BN89" s="29">
        <v>63</v>
      </c>
      <c r="BO89" s="29">
        <v>64</v>
      </c>
      <c r="BP89" s="29">
        <v>65</v>
      </c>
      <c r="BQ89" s="29">
        <v>66</v>
      </c>
      <c r="BR89" s="29">
        <v>67</v>
      </c>
      <c r="BS89" s="29">
        <v>68</v>
      </c>
      <c r="BT89" s="29">
        <v>69</v>
      </c>
      <c r="BU89" s="29">
        <v>70</v>
      </c>
      <c r="BV89" s="29">
        <v>71</v>
      </c>
      <c r="BW89" s="29">
        <v>72</v>
      </c>
      <c r="BX89" s="29">
        <v>73</v>
      </c>
      <c r="BY89" s="29">
        <v>74</v>
      </c>
      <c r="BZ89" s="29">
        <v>75</v>
      </c>
      <c r="CA89" s="29">
        <v>76</v>
      </c>
      <c r="CB89" s="29">
        <v>77</v>
      </c>
      <c r="CC89" s="29">
        <v>78</v>
      </c>
      <c r="CD89" s="29">
        <v>79</v>
      </c>
      <c r="CE89" s="29">
        <v>80</v>
      </c>
      <c r="CF89" s="29">
        <v>81</v>
      </c>
      <c r="CG89" s="29">
        <v>82</v>
      </c>
      <c r="CH89" s="29">
        <v>83</v>
      </c>
      <c r="CI89" s="29">
        <v>84</v>
      </c>
      <c r="CJ89" s="29">
        <v>85</v>
      </c>
      <c r="CK89" s="29">
        <v>86</v>
      </c>
      <c r="CL89" s="29">
        <v>87</v>
      </c>
      <c r="CM89" s="29">
        <v>88</v>
      </c>
      <c r="CN89" s="29">
        <v>89</v>
      </c>
      <c r="CO89" s="29">
        <v>90</v>
      </c>
      <c r="CP89" s="29">
        <v>91</v>
      </c>
      <c r="CQ89" s="29">
        <v>92</v>
      </c>
      <c r="CR89" s="29">
        <v>93</v>
      </c>
      <c r="CS89" s="29">
        <v>94</v>
      </c>
      <c r="CT89" s="29">
        <v>95</v>
      </c>
      <c r="CU89" s="29">
        <v>96</v>
      </c>
      <c r="CV89" s="29">
        <v>97</v>
      </c>
      <c r="CW89" s="29">
        <v>98</v>
      </c>
      <c r="CX89" s="29">
        <v>99</v>
      </c>
      <c r="CY89" s="29">
        <v>100</v>
      </c>
    </row>
    <row r="90" spans="1:103" ht="13">
      <c r="A90" s="2"/>
      <c r="B90" s="17"/>
      <c r="C90" s="31" t="s">
        <v>17</v>
      </c>
      <c r="D90" s="17"/>
      <c r="E90" s="17"/>
      <c r="F90" s="17"/>
      <c r="G90" s="21"/>
      <c r="H90" s="21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</row>
    <row r="91" spans="1:103" ht="13">
      <c r="A91" s="2"/>
      <c r="B91" s="17"/>
      <c r="C91" s="32">
        <v>10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0.1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0.1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0.1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</row>
    <row r="92" spans="1:103" ht="13">
      <c r="A92" s="2"/>
      <c r="B92" s="17"/>
      <c r="C92" s="32">
        <v>100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0.01</v>
      </c>
      <c r="J92" s="9">
        <v>0</v>
      </c>
      <c r="K92" s="9">
        <v>0.01</v>
      </c>
      <c r="L92" s="9">
        <v>0</v>
      </c>
      <c r="M92" s="9">
        <v>0</v>
      </c>
      <c r="N92" s="9">
        <v>0.01</v>
      </c>
      <c r="O92" s="9">
        <v>0.02</v>
      </c>
      <c r="P92" s="9">
        <v>0.01</v>
      </c>
      <c r="Q92" s="9">
        <v>0</v>
      </c>
      <c r="R92" s="9">
        <v>0</v>
      </c>
      <c r="S92" s="9">
        <v>0</v>
      </c>
      <c r="T92" s="9">
        <v>0</v>
      </c>
      <c r="U92" s="9">
        <v>0.01</v>
      </c>
      <c r="V92" s="9">
        <v>0</v>
      </c>
      <c r="W92" s="9">
        <v>0</v>
      </c>
      <c r="X92" s="9">
        <v>0.02</v>
      </c>
      <c r="Y92" s="9">
        <v>0</v>
      </c>
      <c r="Z92" s="9">
        <v>0</v>
      </c>
      <c r="AA92" s="9">
        <v>0.01</v>
      </c>
      <c r="AB92" s="9">
        <v>0.01</v>
      </c>
      <c r="AC92" s="9">
        <v>0.01</v>
      </c>
      <c r="AD92" s="9">
        <v>0.01</v>
      </c>
      <c r="AE92" s="9">
        <v>0.01</v>
      </c>
      <c r="AF92" s="9">
        <v>0</v>
      </c>
      <c r="AG92" s="9">
        <v>0</v>
      </c>
      <c r="AH92" s="9">
        <v>0</v>
      </c>
      <c r="AI92" s="9">
        <v>0.01</v>
      </c>
      <c r="AJ92" s="9">
        <v>0.01</v>
      </c>
      <c r="AK92" s="9">
        <v>0</v>
      </c>
      <c r="AL92" s="9">
        <v>0</v>
      </c>
      <c r="AM92" s="9">
        <v>0.01</v>
      </c>
      <c r="AN92" s="9">
        <v>0</v>
      </c>
      <c r="AO92" s="9">
        <v>0.01</v>
      </c>
      <c r="AP92" s="9">
        <v>0</v>
      </c>
      <c r="AQ92" s="9">
        <v>0</v>
      </c>
      <c r="AR92" s="9">
        <v>0.01</v>
      </c>
      <c r="AS92" s="9">
        <v>0</v>
      </c>
      <c r="AT92" s="9">
        <v>0</v>
      </c>
      <c r="AU92" s="9">
        <v>0.01</v>
      </c>
      <c r="AV92" s="9">
        <v>0.01</v>
      </c>
      <c r="AW92" s="9">
        <v>0.01</v>
      </c>
      <c r="AX92" s="9">
        <v>0</v>
      </c>
      <c r="AY92" s="9">
        <v>0</v>
      </c>
      <c r="AZ92" s="9">
        <v>0.01</v>
      </c>
      <c r="BA92" s="9">
        <v>0</v>
      </c>
      <c r="BB92" s="9">
        <v>0</v>
      </c>
      <c r="BC92" s="9">
        <v>0</v>
      </c>
      <c r="BD92" s="9">
        <v>0.01</v>
      </c>
      <c r="BE92" s="9">
        <v>0.01</v>
      </c>
      <c r="BF92" s="9">
        <v>0</v>
      </c>
      <c r="BG92" s="9">
        <v>0.01</v>
      </c>
      <c r="BH92" s="9">
        <v>0</v>
      </c>
      <c r="BI92" s="9">
        <v>0.01</v>
      </c>
      <c r="BJ92" s="9">
        <v>0.01</v>
      </c>
      <c r="BK92" s="9">
        <v>0</v>
      </c>
      <c r="BL92" s="9">
        <v>0.01</v>
      </c>
      <c r="BM92" s="9">
        <v>0.01</v>
      </c>
      <c r="BN92" s="9">
        <v>0</v>
      </c>
      <c r="BO92" s="9">
        <v>0.01</v>
      </c>
      <c r="BP92" s="9">
        <v>0.01</v>
      </c>
      <c r="BQ92" s="9">
        <v>0</v>
      </c>
      <c r="BR92" s="9">
        <v>0</v>
      </c>
      <c r="BS92" s="9">
        <v>0.02</v>
      </c>
      <c r="BT92" s="9">
        <v>0.01</v>
      </c>
      <c r="BU92" s="9">
        <v>0.01</v>
      </c>
      <c r="BV92" s="9">
        <v>0</v>
      </c>
      <c r="BW92" s="9">
        <v>0</v>
      </c>
      <c r="BX92" s="9">
        <v>0.01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0.02</v>
      </c>
      <c r="CF92" s="9">
        <v>0</v>
      </c>
      <c r="CG92" s="9">
        <v>0.01</v>
      </c>
      <c r="CH92" s="9">
        <v>0</v>
      </c>
      <c r="CI92" s="9">
        <v>0.01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0.01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0.02</v>
      </c>
      <c r="CY92" s="9">
        <v>0.01</v>
      </c>
    </row>
    <row r="93" spans="1:103" ht="13">
      <c r="A93" s="2"/>
      <c r="B93" s="21"/>
      <c r="C93" s="32">
        <v>1000</v>
      </c>
      <c r="D93" s="9">
        <v>1E-3</v>
      </c>
      <c r="E93" s="9">
        <v>0.01</v>
      </c>
      <c r="F93" s="9">
        <v>5.0000000000000001E-3</v>
      </c>
      <c r="G93" s="9">
        <v>7.0000000000000001E-3</v>
      </c>
      <c r="H93" s="9">
        <v>4.0000000000000001E-3</v>
      </c>
      <c r="I93" s="9">
        <v>6.0000000000000001E-3</v>
      </c>
      <c r="J93" s="9">
        <v>8.0000000000000002E-3</v>
      </c>
      <c r="K93" s="9">
        <v>7.0000000000000001E-3</v>
      </c>
      <c r="L93" s="9">
        <v>7.0000000000000001E-3</v>
      </c>
      <c r="M93" s="9">
        <v>8.0000000000000002E-3</v>
      </c>
      <c r="N93" s="9">
        <v>5.0000000000000001E-3</v>
      </c>
      <c r="O93" s="9">
        <v>4.0000000000000001E-3</v>
      </c>
      <c r="P93" s="9">
        <v>8.0000000000000002E-3</v>
      </c>
      <c r="Q93" s="9">
        <v>5.0000000000000001E-3</v>
      </c>
      <c r="R93" s="9">
        <v>5.0000000000000001E-3</v>
      </c>
      <c r="S93" s="9">
        <v>3.0000000000000001E-3</v>
      </c>
      <c r="T93" s="9">
        <v>5.0000000000000001E-3</v>
      </c>
      <c r="U93" s="9">
        <v>6.0000000000000001E-3</v>
      </c>
      <c r="V93" s="9">
        <v>4.0000000000000001E-3</v>
      </c>
      <c r="W93" s="9">
        <v>2E-3</v>
      </c>
      <c r="X93" s="9">
        <v>8.0000000000000002E-3</v>
      </c>
      <c r="Y93" s="9">
        <v>3.0000000000000001E-3</v>
      </c>
      <c r="Z93" s="9">
        <v>5.0000000000000001E-3</v>
      </c>
      <c r="AA93" s="9">
        <v>5.0000000000000001E-3</v>
      </c>
      <c r="AB93" s="9">
        <v>4.0000000000000001E-3</v>
      </c>
      <c r="AC93" s="9">
        <v>8.0000000000000002E-3</v>
      </c>
      <c r="AD93" s="9">
        <v>2E-3</v>
      </c>
      <c r="AE93" s="9">
        <v>8.0000000000000002E-3</v>
      </c>
      <c r="AF93" s="9">
        <v>2E-3</v>
      </c>
      <c r="AG93" s="9">
        <v>7.0000000000000001E-3</v>
      </c>
      <c r="AH93" s="9">
        <v>3.0000000000000001E-3</v>
      </c>
      <c r="AI93" s="9">
        <v>4.0000000000000001E-3</v>
      </c>
      <c r="AJ93" s="9">
        <v>8.0000000000000002E-3</v>
      </c>
      <c r="AK93" s="9">
        <v>3.0000000000000001E-3</v>
      </c>
      <c r="AL93" s="9">
        <v>2E-3</v>
      </c>
      <c r="AM93" s="9">
        <v>2E-3</v>
      </c>
      <c r="AN93" s="9">
        <v>6.0000000000000001E-3</v>
      </c>
      <c r="AO93" s="9">
        <v>2E-3</v>
      </c>
      <c r="AP93" s="9">
        <v>8.0000000000000002E-3</v>
      </c>
      <c r="AQ93" s="9">
        <v>4.0000000000000001E-3</v>
      </c>
      <c r="AR93" s="9">
        <v>6.0000000000000001E-3</v>
      </c>
      <c r="AS93" s="9">
        <v>2E-3</v>
      </c>
      <c r="AT93" s="9">
        <v>8.0000000000000002E-3</v>
      </c>
      <c r="AU93" s="9">
        <v>3.0000000000000001E-3</v>
      </c>
      <c r="AV93" s="9">
        <v>7.0000000000000001E-3</v>
      </c>
      <c r="AW93" s="9">
        <v>2E-3</v>
      </c>
      <c r="AX93" s="9">
        <v>4.0000000000000001E-3</v>
      </c>
      <c r="AY93" s="9">
        <v>3.0000000000000001E-3</v>
      </c>
      <c r="AZ93" s="9">
        <v>1E-3</v>
      </c>
      <c r="BA93" s="9">
        <v>3.0000000000000001E-3</v>
      </c>
      <c r="BB93" s="9">
        <v>6.0000000000000001E-3</v>
      </c>
      <c r="BC93" s="9">
        <v>4.0000000000000001E-3</v>
      </c>
      <c r="BD93" s="9">
        <v>8.9999999999999993E-3</v>
      </c>
      <c r="BE93" s="9">
        <v>5.0000000000000001E-3</v>
      </c>
      <c r="BF93" s="9">
        <v>3.0000000000000001E-3</v>
      </c>
      <c r="BG93" s="9">
        <v>3.0000000000000001E-3</v>
      </c>
      <c r="BH93" s="9">
        <v>3.0000000000000001E-3</v>
      </c>
      <c r="BI93" s="9">
        <v>6.0000000000000001E-3</v>
      </c>
      <c r="BJ93" s="9">
        <v>6.0000000000000001E-3</v>
      </c>
      <c r="BK93" s="9">
        <v>8.0000000000000002E-3</v>
      </c>
      <c r="BL93" s="9">
        <v>1E-3</v>
      </c>
      <c r="BM93" s="9">
        <v>2E-3</v>
      </c>
      <c r="BN93" s="9">
        <v>2E-3</v>
      </c>
      <c r="BO93" s="9">
        <v>5.0000000000000001E-3</v>
      </c>
      <c r="BP93" s="9">
        <v>7.0000000000000001E-3</v>
      </c>
      <c r="BQ93" s="9">
        <v>8.0000000000000002E-3</v>
      </c>
      <c r="BR93" s="9">
        <v>7.0000000000000001E-3</v>
      </c>
      <c r="BS93" s="9">
        <v>6.0000000000000001E-3</v>
      </c>
      <c r="BT93" s="9">
        <v>0.01</v>
      </c>
      <c r="BU93" s="9">
        <v>3.0000000000000001E-3</v>
      </c>
      <c r="BV93" s="9">
        <v>6.0000000000000001E-3</v>
      </c>
      <c r="BW93" s="9">
        <v>1E-3</v>
      </c>
      <c r="BX93" s="9">
        <v>2E-3</v>
      </c>
      <c r="BY93" s="9">
        <v>6.0000000000000001E-3</v>
      </c>
      <c r="BZ93" s="9">
        <v>8.0000000000000002E-3</v>
      </c>
      <c r="CA93" s="9">
        <v>3.0000000000000001E-3</v>
      </c>
      <c r="CB93" s="9">
        <v>5.0000000000000001E-3</v>
      </c>
      <c r="CC93" s="9">
        <v>3.0000000000000001E-3</v>
      </c>
      <c r="CD93" s="9">
        <v>0</v>
      </c>
      <c r="CE93" s="9">
        <v>5.0000000000000001E-3</v>
      </c>
      <c r="CF93" s="9">
        <v>3.0000000000000001E-3</v>
      </c>
      <c r="CG93" s="9">
        <v>1.2E-2</v>
      </c>
      <c r="CH93" s="9">
        <v>5.0000000000000001E-3</v>
      </c>
      <c r="CI93" s="9">
        <v>3.0000000000000001E-3</v>
      </c>
      <c r="CJ93" s="9">
        <v>5.0000000000000001E-3</v>
      </c>
      <c r="CK93" s="9">
        <v>4.0000000000000001E-3</v>
      </c>
      <c r="CL93" s="9">
        <v>5.0000000000000001E-3</v>
      </c>
      <c r="CM93" s="9">
        <v>6.0000000000000001E-3</v>
      </c>
      <c r="CN93" s="9">
        <v>3.0000000000000001E-3</v>
      </c>
      <c r="CO93" s="9">
        <v>4.0000000000000001E-3</v>
      </c>
      <c r="CP93" s="9">
        <v>8.0000000000000002E-3</v>
      </c>
      <c r="CQ93" s="9">
        <v>6.0000000000000001E-3</v>
      </c>
      <c r="CR93" s="9">
        <v>6.0000000000000001E-3</v>
      </c>
      <c r="CS93" s="9">
        <v>6.0000000000000001E-3</v>
      </c>
      <c r="CT93" s="9">
        <v>6.0000000000000001E-3</v>
      </c>
      <c r="CU93" s="9">
        <v>6.0000000000000001E-3</v>
      </c>
      <c r="CV93" s="9">
        <v>4.0000000000000001E-3</v>
      </c>
      <c r="CW93" s="9">
        <v>5.0000000000000001E-3</v>
      </c>
      <c r="CX93" s="9">
        <v>6.0000000000000001E-3</v>
      </c>
      <c r="CY93" s="9">
        <v>3.0000000000000001E-3</v>
      </c>
    </row>
    <row r="94" spans="1:103" ht="13">
      <c r="A94" s="2"/>
      <c r="B94" s="17"/>
      <c r="C94" s="32">
        <v>10000</v>
      </c>
      <c r="D94" s="9">
        <v>4.4000000000000003E-3</v>
      </c>
      <c r="E94" s="9">
        <v>4.7000000000000002E-3</v>
      </c>
      <c r="F94" s="9">
        <v>4.3E-3</v>
      </c>
      <c r="G94" s="9">
        <v>4.7999999999999996E-3</v>
      </c>
      <c r="H94" s="9">
        <v>4.7999999999999996E-3</v>
      </c>
      <c r="I94" s="9">
        <v>3.5999999999999999E-3</v>
      </c>
      <c r="J94" s="9">
        <v>3.8E-3</v>
      </c>
      <c r="K94" s="9">
        <v>4.1999999999999997E-3</v>
      </c>
      <c r="L94" s="9">
        <v>5.0000000000000001E-3</v>
      </c>
      <c r="M94" s="9">
        <v>4.4000000000000003E-3</v>
      </c>
      <c r="N94" s="9">
        <v>5.0000000000000001E-3</v>
      </c>
      <c r="O94" s="9">
        <v>4.5999999999999999E-3</v>
      </c>
      <c r="P94" s="9">
        <v>4.7000000000000002E-3</v>
      </c>
      <c r="Q94" s="9">
        <v>4.8999999999999998E-3</v>
      </c>
      <c r="R94" s="9">
        <v>4.0000000000000001E-3</v>
      </c>
      <c r="S94" s="9">
        <v>4.8999999999999998E-3</v>
      </c>
      <c r="T94" s="9">
        <v>4.4000000000000003E-3</v>
      </c>
      <c r="U94" s="9">
        <v>6.1000000000000004E-3</v>
      </c>
      <c r="V94" s="9">
        <v>5.3E-3</v>
      </c>
      <c r="W94" s="9">
        <v>4.7000000000000002E-3</v>
      </c>
      <c r="X94" s="9">
        <v>4.1999999999999997E-3</v>
      </c>
      <c r="Y94" s="9">
        <v>5.0000000000000001E-3</v>
      </c>
      <c r="Z94" s="9">
        <v>4.5999999999999999E-3</v>
      </c>
      <c r="AA94" s="9">
        <v>5.1000000000000004E-3</v>
      </c>
      <c r="AB94" s="9">
        <v>4.1999999999999997E-3</v>
      </c>
      <c r="AC94" s="9">
        <v>4.3E-3</v>
      </c>
      <c r="AD94" s="9">
        <v>3.8E-3</v>
      </c>
      <c r="AE94" s="9">
        <v>4.3E-3</v>
      </c>
      <c r="AF94" s="9">
        <v>5.1999999999999998E-3</v>
      </c>
      <c r="AG94" s="9">
        <v>4.7000000000000002E-3</v>
      </c>
      <c r="AH94" s="9">
        <v>4.3E-3</v>
      </c>
      <c r="AI94" s="9">
        <v>6.1999999999999998E-3</v>
      </c>
      <c r="AJ94" s="9">
        <v>5.0000000000000001E-3</v>
      </c>
      <c r="AK94" s="9">
        <v>4.1999999999999997E-3</v>
      </c>
      <c r="AL94" s="9">
        <v>5.1000000000000004E-3</v>
      </c>
      <c r="AM94" s="9">
        <v>4.3E-3</v>
      </c>
      <c r="AN94" s="9">
        <v>5.1000000000000004E-3</v>
      </c>
      <c r="AO94" s="9">
        <v>4.7999999999999996E-3</v>
      </c>
      <c r="AP94" s="9">
        <v>5.4999999999999997E-3</v>
      </c>
      <c r="AQ94" s="9">
        <v>5.3E-3</v>
      </c>
      <c r="AR94" s="9">
        <v>5.1000000000000004E-3</v>
      </c>
      <c r="AS94" s="9">
        <v>4.7000000000000002E-3</v>
      </c>
      <c r="AT94" s="9">
        <v>4.3E-3</v>
      </c>
      <c r="AU94" s="9">
        <v>4.4999999999999997E-3</v>
      </c>
      <c r="AV94" s="9">
        <v>4.8999999999999998E-3</v>
      </c>
      <c r="AW94" s="9">
        <v>4.4000000000000003E-3</v>
      </c>
      <c r="AX94" s="9">
        <v>4.7000000000000002E-3</v>
      </c>
      <c r="AY94" s="9">
        <v>4.1999999999999997E-3</v>
      </c>
      <c r="AZ94" s="9">
        <v>5.1000000000000004E-3</v>
      </c>
      <c r="BA94" s="9">
        <v>4.1000000000000003E-3</v>
      </c>
      <c r="BB94" s="9">
        <v>5.3E-3</v>
      </c>
      <c r="BC94" s="9">
        <v>5.1999999999999998E-3</v>
      </c>
      <c r="BD94" s="9">
        <v>4.0000000000000001E-3</v>
      </c>
      <c r="BE94" s="9">
        <v>3.7000000000000002E-3</v>
      </c>
      <c r="BF94" s="9">
        <v>4.8999999999999998E-3</v>
      </c>
      <c r="BG94" s="9">
        <v>4.1000000000000003E-3</v>
      </c>
      <c r="BH94" s="9">
        <v>4.4000000000000003E-3</v>
      </c>
      <c r="BI94" s="9">
        <v>4.7999999999999996E-3</v>
      </c>
      <c r="BJ94" s="9">
        <v>5.5999999999999999E-3</v>
      </c>
      <c r="BK94" s="9">
        <v>4.8999999999999998E-3</v>
      </c>
      <c r="BL94" s="9">
        <v>5.1999999999999998E-3</v>
      </c>
      <c r="BM94" s="9">
        <v>4.3E-3</v>
      </c>
      <c r="BN94" s="9">
        <v>5.8999999999999999E-3</v>
      </c>
      <c r="BO94" s="9">
        <v>3.5000000000000001E-3</v>
      </c>
      <c r="BP94" s="9">
        <v>5.4999999999999997E-3</v>
      </c>
      <c r="BQ94" s="9">
        <v>5.3E-3</v>
      </c>
      <c r="BR94" s="9">
        <v>5.0000000000000001E-3</v>
      </c>
      <c r="BS94" s="9">
        <v>4.4999999999999997E-3</v>
      </c>
      <c r="BT94" s="9">
        <v>4.1000000000000003E-3</v>
      </c>
      <c r="BU94" s="9">
        <v>4.4999999999999997E-3</v>
      </c>
      <c r="BV94" s="9">
        <v>6.0000000000000001E-3</v>
      </c>
      <c r="BW94" s="9">
        <v>3.7000000000000002E-3</v>
      </c>
      <c r="BX94" s="9">
        <v>5.0000000000000001E-3</v>
      </c>
      <c r="BY94" s="9">
        <v>5.4000000000000003E-3</v>
      </c>
      <c r="BZ94" s="9">
        <v>4.1000000000000003E-3</v>
      </c>
      <c r="CA94" s="9">
        <v>4.4999999999999997E-3</v>
      </c>
      <c r="CB94" s="9">
        <v>3.8999999999999998E-3</v>
      </c>
      <c r="CC94" s="9">
        <v>4.7000000000000002E-3</v>
      </c>
      <c r="CD94" s="9">
        <v>5.0000000000000001E-3</v>
      </c>
      <c r="CE94" s="9">
        <v>3.8999999999999998E-3</v>
      </c>
      <c r="CF94" s="9">
        <v>5.1999999999999998E-3</v>
      </c>
      <c r="CG94" s="9">
        <v>4.8999999999999998E-3</v>
      </c>
      <c r="CH94" s="9">
        <v>4.8999999999999998E-3</v>
      </c>
      <c r="CI94" s="9">
        <v>5.5999999999999999E-3</v>
      </c>
      <c r="CJ94" s="9">
        <v>5.0000000000000001E-3</v>
      </c>
      <c r="CK94" s="9">
        <v>4.4999999999999997E-3</v>
      </c>
      <c r="CL94" s="9">
        <v>3.8999999999999998E-3</v>
      </c>
      <c r="CM94" s="9">
        <v>4.5999999999999999E-3</v>
      </c>
      <c r="CN94" s="9">
        <v>4.4000000000000003E-3</v>
      </c>
      <c r="CO94" s="9">
        <v>5.7999999999999996E-3</v>
      </c>
      <c r="CP94" s="9">
        <v>4.4000000000000003E-3</v>
      </c>
      <c r="CQ94" s="9">
        <v>4.4000000000000003E-3</v>
      </c>
      <c r="CR94" s="9">
        <v>4.7000000000000002E-3</v>
      </c>
      <c r="CS94" s="9">
        <v>4.8999999999999998E-3</v>
      </c>
      <c r="CT94" s="9">
        <v>4.3E-3</v>
      </c>
      <c r="CU94" s="9">
        <v>4.7999999999999996E-3</v>
      </c>
      <c r="CV94" s="9">
        <v>4.7000000000000002E-3</v>
      </c>
      <c r="CW94" s="9">
        <v>3.8E-3</v>
      </c>
      <c r="CX94" s="9">
        <v>4.3E-3</v>
      </c>
      <c r="CY94" s="9">
        <v>6.4000000000000003E-3</v>
      </c>
    </row>
    <row r="95" spans="1:103" ht="13">
      <c r="A95" s="2"/>
      <c r="B95" s="17"/>
      <c r="C95" s="32">
        <v>100000</v>
      </c>
      <c r="D95" s="9">
        <v>4.7000000000000002E-3</v>
      </c>
      <c r="E95" s="9">
        <v>4.4799999999999996E-3</v>
      </c>
      <c r="F95" s="9">
        <v>4.5999999999999999E-3</v>
      </c>
      <c r="G95" s="9">
        <v>4.7800000000000004E-3</v>
      </c>
      <c r="H95" s="9">
        <v>4.6299999999999996E-3</v>
      </c>
      <c r="I95" s="9">
        <v>4.3499999999999997E-3</v>
      </c>
      <c r="J95" s="9">
        <v>4.4000000000000003E-3</v>
      </c>
      <c r="K95" s="9">
        <v>4.2500000000000003E-3</v>
      </c>
      <c r="L95" s="9">
        <v>4.7699999999999999E-3</v>
      </c>
      <c r="M95" s="9">
        <v>4.7000000000000002E-3</v>
      </c>
      <c r="N95" s="9">
        <v>4.5199999999999997E-3</v>
      </c>
      <c r="O95" s="9">
        <v>4.7600000000000003E-3</v>
      </c>
      <c r="P95" s="9">
        <v>4.7400000000000003E-3</v>
      </c>
      <c r="Q95" s="9">
        <v>4.5300000000000002E-3</v>
      </c>
      <c r="R95" s="9">
        <v>4.9800000000000001E-3</v>
      </c>
      <c r="S95" s="9">
        <v>4.5599999999999998E-3</v>
      </c>
      <c r="T95" s="9">
        <v>4.7800000000000004E-3</v>
      </c>
      <c r="U95" s="9">
        <v>4.5999999999999999E-3</v>
      </c>
      <c r="V95" s="9">
        <v>4.7000000000000002E-3</v>
      </c>
      <c r="W95" s="9">
        <v>4.7400000000000003E-3</v>
      </c>
      <c r="X95" s="9">
        <v>4.7000000000000002E-3</v>
      </c>
      <c r="Y95" s="9">
        <v>4.47E-3</v>
      </c>
      <c r="Z95" s="9">
        <v>4.5500000000000002E-3</v>
      </c>
      <c r="AA95" s="9">
        <v>4.9199999999999999E-3</v>
      </c>
      <c r="AB95" s="9">
        <v>4.62E-3</v>
      </c>
      <c r="AC95" s="9">
        <v>4.4299999999999999E-3</v>
      </c>
      <c r="AD95" s="9">
        <v>4.62E-3</v>
      </c>
      <c r="AE95" s="9">
        <v>4.5500000000000002E-3</v>
      </c>
      <c r="AF95" s="9">
        <v>4.1399999999999996E-3</v>
      </c>
      <c r="AG95" s="9">
        <v>4.2700000000000004E-3</v>
      </c>
      <c r="AH95" s="9">
        <v>4.8900000000000002E-3</v>
      </c>
      <c r="AI95" s="9">
        <v>4.7600000000000003E-3</v>
      </c>
      <c r="AJ95" s="9">
        <v>4.9100000000000003E-3</v>
      </c>
      <c r="AK95" s="9">
        <v>4.7600000000000003E-3</v>
      </c>
      <c r="AL95" s="9">
        <v>4.62E-3</v>
      </c>
      <c r="AM95" s="9">
        <v>4.6899999999999997E-3</v>
      </c>
      <c r="AN95" s="9">
        <v>4.47E-3</v>
      </c>
      <c r="AO95" s="9">
        <v>4.7000000000000002E-3</v>
      </c>
      <c r="AP95" s="9">
        <v>4.3299999999999996E-3</v>
      </c>
      <c r="AQ95" s="9">
        <v>4.6899999999999997E-3</v>
      </c>
      <c r="AR95" s="9">
        <v>4.8399999999999997E-3</v>
      </c>
      <c r="AS95" s="9">
        <v>4.5399999999999998E-3</v>
      </c>
      <c r="AT95" s="9">
        <v>4.5500000000000002E-3</v>
      </c>
      <c r="AU95" s="9">
        <v>4.4000000000000003E-3</v>
      </c>
      <c r="AV95" s="9">
        <v>4.2399999999999998E-3</v>
      </c>
      <c r="AW95" s="9">
        <v>4.3600000000000002E-3</v>
      </c>
      <c r="AX95" s="9">
        <v>4.4600000000000004E-3</v>
      </c>
      <c r="AY95" s="9">
        <v>4.0699999999999998E-3</v>
      </c>
      <c r="AZ95" s="9">
        <v>4.8599999999999997E-3</v>
      </c>
      <c r="BA95" s="9">
        <v>4.8199999999999996E-3</v>
      </c>
      <c r="BB95" s="9">
        <v>4.7499999999999999E-3</v>
      </c>
      <c r="BC95" s="9">
        <v>4.7200000000000002E-3</v>
      </c>
      <c r="BD95" s="9">
        <v>4.7400000000000003E-3</v>
      </c>
      <c r="BE95" s="9">
        <v>4.7200000000000002E-3</v>
      </c>
      <c r="BF95" s="9">
        <v>4.7200000000000002E-3</v>
      </c>
      <c r="BG95" s="9">
        <v>4.7400000000000003E-3</v>
      </c>
      <c r="BH95" s="9">
        <v>4.8500000000000001E-3</v>
      </c>
      <c r="BI95" s="9">
        <v>4.6800000000000001E-3</v>
      </c>
      <c r="BJ95" s="9">
        <v>4.7000000000000002E-3</v>
      </c>
      <c r="BK95" s="9">
        <v>4.64E-3</v>
      </c>
      <c r="BL95" s="9">
        <v>4.47E-3</v>
      </c>
      <c r="BM95" s="9">
        <v>4.5900000000000003E-3</v>
      </c>
      <c r="BN95" s="9">
        <v>4.62E-3</v>
      </c>
      <c r="BO95" s="9">
        <v>4.4999999999999997E-3</v>
      </c>
      <c r="BP95" s="9">
        <v>4.6299999999999996E-3</v>
      </c>
      <c r="BQ95" s="9">
        <v>4.6800000000000001E-3</v>
      </c>
      <c r="BR95" s="9">
        <v>4.7099999999999998E-3</v>
      </c>
      <c r="BS95" s="9">
        <v>4.6600000000000001E-3</v>
      </c>
      <c r="BT95" s="9">
        <v>4.6899999999999997E-3</v>
      </c>
      <c r="BU95" s="9">
        <v>4.6600000000000001E-3</v>
      </c>
      <c r="BV95" s="9">
        <v>4.5399999999999998E-3</v>
      </c>
      <c r="BW95" s="9">
        <v>4.4400000000000004E-3</v>
      </c>
      <c r="BX95" s="9">
        <v>4.4600000000000004E-3</v>
      </c>
      <c r="BY95" s="9">
        <v>4.6899999999999997E-3</v>
      </c>
      <c r="BZ95" s="9">
        <v>4.79E-3</v>
      </c>
      <c r="CA95" s="9">
        <v>4.8300000000000001E-3</v>
      </c>
      <c r="CB95" s="9">
        <v>4.6299999999999996E-3</v>
      </c>
      <c r="CC95" s="9">
        <v>4.2900000000000004E-3</v>
      </c>
      <c r="CD95" s="9">
        <v>4.4000000000000003E-3</v>
      </c>
      <c r="CE95" s="9">
        <v>4.4999999999999997E-3</v>
      </c>
      <c r="CF95" s="9">
        <v>4.4999999999999997E-3</v>
      </c>
      <c r="CG95" s="9">
        <v>4.3600000000000002E-3</v>
      </c>
      <c r="CH95" s="9">
        <v>4.6800000000000001E-3</v>
      </c>
      <c r="CI95" s="9">
        <v>4.6100000000000004E-3</v>
      </c>
      <c r="CJ95" s="9">
        <v>5.13E-3</v>
      </c>
      <c r="CK95" s="9">
        <v>4.5100000000000001E-3</v>
      </c>
      <c r="CL95" s="9">
        <v>4.4999999999999997E-3</v>
      </c>
      <c r="CM95" s="9">
        <v>5.0299999999999997E-3</v>
      </c>
      <c r="CN95" s="9">
        <v>4.2199999999999998E-3</v>
      </c>
      <c r="CO95" s="9">
        <v>4.7200000000000002E-3</v>
      </c>
      <c r="CP95" s="9">
        <v>4.6299999999999996E-3</v>
      </c>
      <c r="CQ95" s="9">
        <v>4.6800000000000001E-3</v>
      </c>
      <c r="CR95" s="9">
        <v>4.7299999999999998E-3</v>
      </c>
      <c r="CS95" s="9">
        <v>4.7800000000000004E-3</v>
      </c>
      <c r="CT95" s="9">
        <v>4.6100000000000004E-3</v>
      </c>
      <c r="CU95" s="9">
        <v>4.28E-3</v>
      </c>
      <c r="CV95" s="9">
        <v>4.7400000000000003E-3</v>
      </c>
      <c r="CW95" s="9">
        <v>4.5700000000000003E-3</v>
      </c>
      <c r="CX95" s="9">
        <v>4.6800000000000001E-3</v>
      </c>
      <c r="CY95" s="9">
        <v>5.0899999999999999E-3</v>
      </c>
    </row>
    <row r="96" spans="1:103" ht="13">
      <c r="A96" s="2"/>
      <c r="B96" s="17"/>
      <c r="C96" s="33">
        <v>1000000</v>
      </c>
      <c r="D96" s="9">
        <v>4.6109999999999996E-3</v>
      </c>
      <c r="E96" s="9">
        <v>4.62E-3</v>
      </c>
      <c r="F96" s="9">
        <v>4.6369999999999996E-3</v>
      </c>
      <c r="G96" s="9">
        <v>4.6509999999999998E-3</v>
      </c>
      <c r="H96" s="9">
        <v>4.6800000000000001E-3</v>
      </c>
      <c r="I96" s="9">
        <v>4.5399999999999998E-3</v>
      </c>
      <c r="J96" s="9">
        <v>4.6499999999999996E-3</v>
      </c>
      <c r="K96" s="9">
        <v>4.5890000000000002E-3</v>
      </c>
      <c r="L96" s="9">
        <v>4.5170000000000002E-3</v>
      </c>
      <c r="M96" s="9">
        <v>4.5279999999999999E-3</v>
      </c>
      <c r="N96" s="9">
        <v>4.6839999999999998E-3</v>
      </c>
      <c r="O96" s="9">
        <v>4.6090000000000002E-3</v>
      </c>
      <c r="P96" s="9">
        <v>4.6499999999999996E-3</v>
      </c>
      <c r="Q96" s="9">
        <v>4.4879999999999998E-3</v>
      </c>
      <c r="R96" s="9">
        <v>4.705E-3</v>
      </c>
      <c r="S96" s="9">
        <v>4.6680000000000003E-3</v>
      </c>
      <c r="T96" s="9">
        <v>4.5919999999999997E-3</v>
      </c>
      <c r="U96" s="9">
        <v>4.6480000000000002E-3</v>
      </c>
      <c r="V96" s="9">
        <v>4.6090000000000002E-3</v>
      </c>
      <c r="W96" s="9">
        <v>4.6150000000000002E-3</v>
      </c>
      <c r="X96" s="9">
        <v>4.6519999999999999E-3</v>
      </c>
      <c r="Y96" s="9">
        <v>4.7039999999999998E-3</v>
      </c>
      <c r="Z96" s="9">
        <v>4.5580000000000004E-3</v>
      </c>
      <c r="AA96" s="9">
        <v>4.7210000000000004E-3</v>
      </c>
      <c r="AB96" s="9">
        <v>4.6299999999999996E-3</v>
      </c>
      <c r="AC96" s="9">
        <v>4.6829999999999997E-3</v>
      </c>
      <c r="AD96" s="9">
        <v>4.568E-3</v>
      </c>
      <c r="AE96" s="9">
        <v>4.5979999999999997E-3</v>
      </c>
      <c r="AF96" s="9">
        <v>4.6930000000000001E-3</v>
      </c>
      <c r="AG96" s="9">
        <v>4.5869999999999999E-3</v>
      </c>
      <c r="AH96" s="9">
        <v>4.5589999999999997E-3</v>
      </c>
      <c r="AI96" s="9">
        <v>4.5560000000000002E-3</v>
      </c>
      <c r="AJ96" s="9">
        <v>4.6690000000000004E-3</v>
      </c>
      <c r="AK96" s="9">
        <v>4.6800000000000001E-3</v>
      </c>
      <c r="AL96" s="9">
        <v>4.548E-3</v>
      </c>
      <c r="AM96" s="9">
        <v>4.5729999999999998E-3</v>
      </c>
      <c r="AN96" s="9">
        <v>4.7130000000000002E-3</v>
      </c>
      <c r="AO96" s="9">
        <v>4.7019999999999996E-3</v>
      </c>
      <c r="AP96" s="9">
        <v>4.5859999999999998E-3</v>
      </c>
      <c r="AQ96" s="9">
        <v>4.6740000000000002E-3</v>
      </c>
      <c r="AR96" s="9">
        <v>4.6810000000000003E-3</v>
      </c>
      <c r="AS96" s="9">
        <v>4.712E-3</v>
      </c>
      <c r="AT96" s="9">
        <v>4.5799999999999999E-3</v>
      </c>
      <c r="AU96" s="9">
        <v>4.7340000000000004E-3</v>
      </c>
      <c r="AV96" s="9">
        <v>4.5729999999999998E-3</v>
      </c>
      <c r="AW96" s="9">
        <v>4.5919999999999997E-3</v>
      </c>
      <c r="AX96" s="9">
        <v>4.5339999999999998E-3</v>
      </c>
      <c r="AY96" s="9">
        <v>4.6449999999999998E-3</v>
      </c>
      <c r="AZ96" s="9">
        <v>4.6509999999999998E-3</v>
      </c>
      <c r="BA96" s="9">
        <v>4.6350000000000002E-3</v>
      </c>
      <c r="BB96" s="9">
        <v>4.5820000000000001E-3</v>
      </c>
      <c r="BC96" s="9">
        <v>4.5100000000000001E-3</v>
      </c>
      <c r="BD96" s="9">
        <v>4.5830000000000003E-3</v>
      </c>
      <c r="BE96" s="9">
        <v>4.6290000000000003E-3</v>
      </c>
      <c r="BF96" s="9">
        <v>4.653E-3</v>
      </c>
      <c r="BG96" s="9">
        <v>4.7860000000000003E-3</v>
      </c>
      <c r="BH96" s="9">
        <v>4.6870000000000002E-3</v>
      </c>
      <c r="BI96" s="9">
        <v>4.7780000000000001E-3</v>
      </c>
      <c r="BJ96" s="9">
        <v>4.7559999999999998E-3</v>
      </c>
      <c r="BK96" s="9">
        <v>4.594E-3</v>
      </c>
      <c r="BL96" s="9">
        <v>4.7019999999999996E-3</v>
      </c>
      <c r="BM96" s="9">
        <v>4.6210000000000001E-3</v>
      </c>
      <c r="BN96" s="9">
        <v>4.7229999999999998E-3</v>
      </c>
      <c r="BO96" s="9">
        <v>4.6839999999999998E-3</v>
      </c>
      <c r="BP96" s="9">
        <v>4.7140000000000003E-3</v>
      </c>
      <c r="BQ96" s="9">
        <v>4.6959999999999997E-3</v>
      </c>
      <c r="BR96" s="9">
        <v>4.5929999999999999E-3</v>
      </c>
      <c r="BS96" s="9">
        <v>4.6059999999999999E-3</v>
      </c>
      <c r="BT96" s="9">
        <v>4.6709999999999998E-3</v>
      </c>
      <c r="BU96" s="9">
        <v>4.6210000000000001E-3</v>
      </c>
      <c r="BV96" s="9">
        <v>4.6719999999999999E-3</v>
      </c>
      <c r="BW96" s="9">
        <v>4.751E-3</v>
      </c>
      <c r="BX96" s="9">
        <v>4.6280000000000002E-3</v>
      </c>
      <c r="BY96" s="9">
        <v>4.5849999999999997E-3</v>
      </c>
      <c r="BZ96" s="9">
        <v>4.7070000000000002E-3</v>
      </c>
      <c r="CA96" s="9">
        <v>4.6090000000000002E-3</v>
      </c>
      <c r="CB96" s="9">
        <v>4.7479999999999996E-3</v>
      </c>
      <c r="CC96" s="9">
        <v>4.6759999999999996E-3</v>
      </c>
      <c r="CD96" s="9">
        <v>4.6039999999999996E-3</v>
      </c>
      <c r="CE96" s="9">
        <v>4.5989999999999998E-3</v>
      </c>
      <c r="CF96" s="9">
        <v>4.7019999999999996E-3</v>
      </c>
      <c r="CG96" s="9">
        <v>4.5319999999999996E-3</v>
      </c>
      <c r="CH96" s="9">
        <v>4.5859999999999998E-3</v>
      </c>
      <c r="CI96" s="9">
        <v>4.6179999999999997E-3</v>
      </c>
      <c r="CJ96" s="9">
        <v>4.4559999999999999E-3</v>
      </c>
      <c r="CK96" s="9">
        <v>4.62E-3</v>
      </c>
      <c r="CL96" s="9">
        <v>4.6439999999999997E-3</v>
      </c>
      <c r="CM96" s="9">
        <v>4.6249999999999998E-3</v>
      </c>
      <c r="CN96" s="9">
        <v>4.6309999999999997E-3</v>
      </c>
      <c r="CO96" s="9">
        <v>4.6379999999999998E-3</v>
      </c>
      <c r="CP96" s="9">
        <v>4.6439999999999997E-3</v>
      </c>
      <c r="CQ96" s="9">
        <v>4.7029999999999997E-3</v>
      </c>
      <c r="CR96" s="9">
        <v>4.6100000000000004E-3</v>
      </c>
      <c r="CS96" s="9">
        <v>4.5199999999999997E-3</v>
      </c>
      <c r="CT96" s="9">
        <v>4.6699999999999997E-3</v>
      </c>
      <c r="CU96" s="9">
        <v>4.6589999999999999E-3</v>
      </c>
      <c r="CV96" s="9">
        <v>4.6129999999999999E-3</v>
      </c>
      <c r="CW96" s="9">
        <v>4.738E-3</v>
      </c>
      <c r="CX96" s="9">
        <v>4.6230000000000004E-3</v>
      </c>
      <c r="CY96" s="9">
        <v>4.7340000000000004E-3</v>
      </c>
    </row>
    <row r="97" spans="1:103" ht="13">
      <c r="A97" s="2"/>
      <c r="B97" s="17"/>
      <c r="C97" s="31"/>
      <c r="D97" s="17"/>
      <c r="E97" s="17"/>
      <c r="F97" s="17"/>
      <c r="G97" s="21"/>
      <c r="H97" s="21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</row>
    <row r="98" spans="1:103" ht="13">
      <c r="A98" s="2"/>
      <c r="B98" s="27" t="s">
        <v>28</v>
      </c>
      <c r="C98" s="31"/>
      <c r="D98" s="17"/>
      <c r="E98" s="17"/>
      <c r="F98" s="17"/>
      <c r="G98" s="21"/>
      <c r="H98" s="21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</row>
    <row r="99" spans="1:103" ht="13">
      <c r="A99" s="2"/>
      <c r="B99" s="17"/>
      <c r="C99" s="31" t="s">
        <v>17</v>
      </c>
      <c r="D99" s="1" t="s">
        <v>29</v>
      </c>
      <c r="E99" s="1" t="s">
        <v>30</v>
      </c>
      <c r="F99" s="1" t="s">
        <v>18</v>
      </c>
      <c r="G99" s="21"/>
      <c r="H99" s="21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</row>
    <row r="100" spans="1:103" ht="13">
      <c r="A100" s="2"/>
      <c r="B100" s="17"/>
      <c r="C100" s="32">
        <v>10</v>
      </c>
      <c r="D100" s="29">
        <v>4.6328699999999999E-3</v>
      </c>
      <c r="E100" s="29">
        <f t="shared" ref="E100:E105" si="6">AVERAGE(D91:CY91)</f>
        <v>3.0000000000000005E-3</v>
      </c>
      <c r="F100">
        <f t="shared" ref="F100:F105" si="7">D30</f>
        <v>4.3500000000000014E-3</v>
      </c>
      <c r="G100" s="21"/>
      <c r="H100" s="21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</row>
    <row r="101" spans="1:103" ht="13">
      <c r="A101" s="2"/>
      <c r="B101" s="17"/>
      <c r="C101" s="32">
        <v>100</v>
      </c>
      <c r="D101" s="29">
        <v>4.6328699999999999E-3</v>
      </c>
      <c r="E101" s="29">
        <f t="shared" si="6"/>
        <v>4.5000000000000031E-3</v>
      </c>
      <c r="F101">
        <f t="shared" si="7"/>
        <v>5.0700000000000025E-3</v>
      </c>
      <c r="G101" s="21"/>
      <c r="H101" s="21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</row>
    <row r="102" spans="1:103" ht="13">
      <c r="A102" s="2"/>
      <c r="B102" s="17"/>
      <c r="C102" s="32">
        <v>1000</v>
      </c>
      <c r="D102" s="29">
        <v>4.6328699999999999E-3</v>
      </c>
      <c r="E102" s="29">
        <f t="shared" si="6"/>
        <v>4.9200000000000042E-3</v>
      </c>
      <c r="F102">
        <f t="shared" si="7"/>
        <v>4.5719999999999988E-3</v>
      </c>
      <c r="G102" s="21"/>
      <c r="H102" s="21"/>
      <c r="I102" s="21"/>
      <c r="J102" s="21"/>
      <c r="K102" s="21"/>
      <c r="L102" s="21"/>
      <c r="M102" s="21"/>
      <c r="N102" s="21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</row>
    <row r="103" spans="1:103" ht="13">
      <c r="A103" s="2"/>
      <c r="B103" s="17"/>
      <c r="C103" s="32">
        <v>10000</v>
      </c>
      <c r="D103" s="29">
        <v>4.6328699999999999E-3</v>
      </c>
      <c r="E103" s="29">
        <f t="shared" si="6"/>
        <v>4.7020000000000031E-3</v>
      </c>
      <c r="F103">
        <f t="shared" si="7"/>
        <v>4.6766999999999998E-3</v>
      </c>
      <c r="G103" s="21"/>
      <c r="H103" s="21"/>
      <c r="I103" s="21"/>
      <c r="J103" s="21"/>
      <c r="K103" s="21"/>
      <c r="L103" s="21"/>
      <c r="M103" s="21"/>
      <c r="N103" s="21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</row>
    <row r="104" spans="1:103" ht="13">
      <c r="A104" s="2"/>
      <c r="B104" s="17"/>
      <c r="C104" s="32">
        <v>100000</v>
      </c>
      <c r="D104" s="29">
        <v>4.6328699999999999E-3</v>
      </c>
      <c r="E104" s="29">
        <f t="shared" si="6"/>
        <v>4.6189000000000022E-3</v>
      </c>
      <c r="F104">
        <f t="shared" si="7"/>
        <v>4.6393499999999996E-3</v>
      </c>
      <c r="G104" s="21"/>
      <c r="H104" s="21"/>
      <c r="I104" s="21"/>
      <c r="J104" s="21"/>
      <c r="K104" s="21"/>
      <c r="L104" s="21"/>
      <c r="M104" s="21"/>
      <c r="N104" s="21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</row>
    <row r="105" spans="1:103" ht="20">
      <c r="A105" s="2"/>
      <c r="B105" s="17"/>
      <c r="C105" s="32">
        <v>1000000</v>
      </c>
      <c r="D105" s="29">
        <v>4.6328699999999999E-3</v>
      </c>
      <c r="E105" s="29">
        <f t="shared" si="6"/>
        <v>4.6361599999999994E-3</v>
      </c>
      <c r="F105">
        <f t="shared" si="7"/>
        <v>4.6299510000000019E-3</v>
      </c>
      <c r="G105" s="34"/>
      <c r="H105" s="21"/>
      <c r="I105" s="21"/>
      <c r="J105" s="21"/>
      <c r="K105" s="21"/>
      <c r="L105" s="21"/>
      <c r="M105" s="21"/>
      <c r="N105" s="21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</row>
    <row r="106" spans="1:103" ht="13">
      <c r="A106" s="2"/>
      <c r="B106" s="17"/>
      <c r="C106" s="31"/>
      <c r="D106" s="17"/>
      <c r="E106" s="17"/>
      <c r="F106" s="17"/>
      <c r="G106" s="21"/>
      <c r="H106" s="21"/>
      <c r="I106" s="21"/>
      <c r="J106" s="21"/>
      <c r="K106" s="21"/>
      <c r="L106" s="21"/>
      <c r="M106" s="21"/>
      <c r="N106" s="21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</row>
    <row r="107" spans="1:103" ht="13">
      <c r="A107" s="2"/>
      <c r="B107" s="27" t="s">
        <v>31</v>
      </c>
      <c r="C107" s="31"/>
      <c r="D107" s="17"/>
      <c r="E107" s="17"/>
      <c r="F107" s="17"/>
      <c r="G107" s="21"/>
      <c r="H107" s="21"/>
      <c r="I107" s="21"/>
      <c r="J107" s="21"/>
      <c r="K107" s="21"/>
      <c r="L107" s="21"/>
      <c r="M107" s="21"/>
      <c r="N107" s="21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</row>
    <row r="108" spans="1:103" ht="13">
      <c r="A108" s="2"/>
      <c r="B108" s="17"/>
      <c r="C108" s="31" t="s">
        <v>17</v>
      </c>
      <c r="D108" s="1" t="s">
        <v>32</v>
      </c>
      <c r="E108" s="1" t="s">
        <v>33</v>
      </c>
      <c r="F108" s="35" t="s">
        <v>34</v>
      </c>
      <c r="G108" s="35"/>
      <c r="H108" s="21"/>
      <c r="I108" s="21"/>
      <c r="J108" s="21"/>
      <c r="K108" s="21"/>
      <c r="L108" s="21"/>
      <c r="M108" s="21"/>
      <c r="N108" s="21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</row>
    <row r="109" spans="1:103" ht="13">
      <c r="A109" s="2"/>
      <c r="B109" s="17"/>
      <c r="C109" s="32">
        <v>10</v>
      </c>
      <c r="D109" s="29" t="e">
        <f t="shared" ref="D109:D114" ca="1" si="8">_xludf.VAR.S(D91:CY91) * 1000</f>
        <v>#NAME?</v>
      </c>
      <c r="E109" s="31">
        <f t="shared" ref="E109:E114" si="9">D100*(1-D100)/C109 * 1000</f>
        <v>0.46114065155631001</v>
      </c>
      <c r="F109" s="17">
        <f t="shared" ref="F109:F114" si="10">E30 * 1000</f>
        <v>6.4977272727272745E-2</v>
      </c>
      <c r="G109" s="21"/>
      <c r="H109" s="21"/>
      <c r="I109" s="21"/>
      <c r="J109" s="21"/>
      <c r="K109" s="21"/>
      <c r="L109" s="21"/>
      <c r="M109" s="21"/>
      <c r="N109" s="21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</row>
    <row r="110" spans="1:103" ht="13">
      <c r="A110" s="2"/>
      <c r="B110" s="17"/>
      <c r="C110" s="32">
        <v>100</v>
      </c>
      <c r="D110" s="29" t="e">
        <f t="shared" ca="1" si="8"/>
        <v>#NAME?</v>
      </c>
      <c r="E110" s="31">
        <f t="shared" si="9"/>
        <v>4.6114065155631004E-2</v>
      </c>
      <c r="F110" s="17">
        <f t="shared" si="10"/>
        <v>8.1718181818181274E-3</v>
      </c>
      <c r="G110" s="21"/>
      <c r="H110" s="21"/>
      <c r="I110" s="21"/>
      <c r="J110" s="21"/>
      <c r="K110" s="21"/>
      <c r="L110" s="21"/>
      <c r="M110" s="21"/>
      <c r="N110" s="21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</row>
    <row r="111" spans="1:103" ht="13">
      <c r="A111" s="2"/>
      <c r="B111" s="17"/>
      <c r="C111" s="32">
        <v>1000</v>
      </c>
      <c r="D111" s="29" t="e">
        <f t="shared" ca="1" si="8"/>
        <v>#NAME?</v>
      </c>
      <c r="E111" s="31">
        <f t="shared" si="9"/>
        <v>4.6114065155631002E-3</v>
      </c>
      <c r="F111" s="17" t="e">
        <f t="shared" ca="1" si="10"/>
        <v>#NAME?</v>
      </c>
      <c r="G111" s="21"/>
      <c r="H111" s="21"/>
      <c r="I111" s="21"/>
      <c r="J111" s="21"/>
      <c r="K111" s="21"/>
      <c r="L111" s="21"/>
      <c r="M111" s="21"/>
      <c r="N111" s="21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</row>
    <row r="112" spans="1:103" ht="13">
      <c r="A112" s="2"/>
      <c r="B112" s="17"/>
      <c r="C112" s="32">
        <v>10000</v>
      </c>
      <c r="D112" s="29" t="e">
        <f t="shared" ca="1" si="8"/>
        <v>#NAME?</v>
      </c>
      <c r="E112" s="31">
        <f t="shared" si="9"/>
        <v>4.6114065155631001E-4</v>
      </c>
      <c r="F112" s="17" t="e">
        <f t="shared" ca="1" si="10"/>
        <v>#NAME?</v>
      </c>
      <c r="G112" s="21"/>
      <c r="H112" s="21"/>
      <c r="I112" s="21"/>
      <c r="J112" s="21"/>
      <c r="K112" s="21"/>
      <c r="L112" s="21"/>
      <c r="M112" s="21"/>
      <c r="N112" s="21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</row>
    <row r="113" spans="1:103" ht="13">
      <c r="A113" s="2"/>
      <c r="B113" s="17"/>
      <c r="C113" s="32">
        <v>100000</v>
      </c>
      <c r="D113" s="29" t="e">
        <f t="shared" ca="1" si="8"/>
        <v>#NAME?</v>
      </c>
      <c r="E113" s="31">
        <f t="shared" si="9"/>
        <v>4.6114065155631005E-5</v>
      </c>
      <c r="F113" s="17" t="e">
        <f t="shared" ca="1" si="10"/>
        <v>#NAME?</v>
      </c>
      <c r="G113" s="21"/>
      <c r="H113" s="21"/>
      <c r="I113" s="21"/>
      <c r="J113" s="21"/>
      <c r="K113" s="21"/>
      <c r="L113" s="21"/>
      <c r="M113" s="21"/>
      <c r="N113" s="21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</row>
    <row r="114" spans="1:103" ht="13">
      <c r="A114" s="2"/>
      <c r="B114" s="17"/>
      <c r="C114" s="32">
        <v>1000000</v>
      </c>
      <c r="D114" s="29" t="e">
        <f t="shared" ca="1" si="8"/>
        <v>#NAME?</v>
      </c>
      <c r="E114" s="31">
        <f t="shared" si="9"/>
        <v>4.6114065155631003E-6</v>
      </c>
      <c r="F114" s="17">
        <f t="shared" si="10"/>
        <v>5.888978272727274E-7</v>
      </c>
      <c r="G114" s="21"/>
      <c r="H114" s="21"/>
      <c r="I114" s="21"/>
      <c r="J114" s="21"/>
      <c r="K114" s="21"/>
      <c r="L114" s="21"/>
      <c r="M114" s="21"/>
      <c r="N114" s="21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</row>
    <row r="115" spans="1:103" ht="13">
      <c r="A115" s="2"/>
      <c r="B115" s="17"/>
      <c r="C115" s="31"/>
      <c r="D115" s="17"/>
      <c r="E115" s="17"/>
      <c r="F115" s="17"/>
      <c r="G115" s="21"/>
      <c r="H115" s="21"/>
      <c r="I115" s="21"/>
      <c r="J115" s="21"/>
      <c r="K115" s="21"/>
      <c r="L115" s="21"/>
      <c r="M115" s="21"/>
      <c r="N115" s="21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</row>
    <row r="116" spans="1:103" ht="13">
      <c r="A116" s="2"/>
      <c r="B116" s="36" t="s">
        <v>35</v>
      </c>
      <c r="C116" s="37"/>
      <c r="D116" s="17"/>
      <c r="E116" s="17"/>
      <c r="F116" s="17"/>
      <c r="G116" s="21"/>
      <c r="H116" s="21"/>
      <c r="I116" s="21"/>
      <c r="J116" s="21"/>
      <c r="K116" s="21"/>
      <c r="L116" s="21"/>
      <c r="M116" s="21"/>
      <c r="N116" s="21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</row>
    <row r="117" spans="1:103" ht="13">
      <c r="A117" s="2"/>
      <c r="B117" s="27" t="s">
        <v>21</v>
      </c>
      <c r="C117" s="32" t="s">
        <v>16</v>
      </c>
      <c r="D117" s="29">
        <v>1</v>
      </c>
      <c r="E117" s="29">
        <v>2</v>
      </c>
      <c r="F117" s="29">
        <v>3</v>
      </c>
      <c r="G117" s="29">
        <v>4</v>
      </c>
      <c r="H117" s="30">
        <v>5</v>
      </c>
      <c r="I117" s="30">
        <v>6</v>
      </c>
      <c r="J117" s="30">
        <v>7</v>
      </c>
      <c r="K117" s="30">
        <v>8</v>
      </c>
      <c r="L117" s="30">
        <v>9</v>
      </c>
      <c r="M117" s="30">
        <v>10</v>
      </c>
      <c r="N117" s="30">
        <v>11</v>
      </c>
      <c r="O117" s="29">
        <v>12</v>
      </c>
      <c r="P117" s="29">
        <v>13</v>
      </c>
      <c r="Q117" s="29">
        <v>14</v>
      </c>
      <c r="R117" s="29">
        <v>15</v>
      </c>
      <c r="S117" s="29">
        <v>16</v>
      </c>
      <c r="T117" s="29">
        <v>17</v>
      </c>
      <c r="U117" s="29">
        <v>18</v>
      </c>
      <c r="V117" s="29">
        <v>19</v>
      </c>
      <c r="W117" s="29">
        <v>20</v>
      </c>
      <c r="X117" s="29">
        <v>21</v>
      </c>
      <c r="Y117" s="29">
        <v>22</v>
      </c>
      <c r="Z117" s="29">
        <v>23</v>
      </c>
      <c r="AA117" s="29">
        <v>24</v>
      </c>
      <c r="AB117" s="29">
        <v>25</v>
      </c>
      <c r="AC117" s="29">
        <v>26</v>
      </c>
      <c r="AD117" s="29">
        <v>27</v>
      </c>
      <c r="AE117" s="29">
        <v>28</v>
      </c>
      <c r="AF117" s="29">
        <v>29</v>
      </c>
      <c r="AG117" s="29">
        <v>30</v>
      </c>
      <c r="AH117" s="29">
        <v>31</v>
      </c>
      <c r="AI117" s="29">
        <v>32</v>
      </c>
      <c r="AJ117" s="29">
        <v>33</v>
      </c>
      <c r="AK117" s="29">
        <v>34</v>
      </c>
      <c r="AL117" s="29">
        <v>35</v>
      </c>
      <c r="AM117" s="29">
        <v>36</v>
      </c>
      <c r="AN117" s="29">
        <v>37</v>
      </c>
      <c r="AO117" s="29">
        <v>38</v>
      </c>
      <c r="AP117" s="29">
        <v>39</v>
      </c>
      <c r="AQ117" s="29">
        <v>40</v>
      </c>
      <c r="AR117" s="29">
        <v>41</v>
      </c>
      <c r="AS117" s="29">
        <v>42</v>
      </c>
      <c r="AT117" s="29">
        <v>43</v>
      </c>
      <c r="AU117" s="29">
        <v>44</v>
      </c>
      <c r="AV117" s="29">
        <v>45</v>
      </c>
      <c r="AW117" s="29">
        <v>46</v>
      </c>
      <c r="AX117" s="29">
        <v>47</v>
      </c>
      <c r="AY117" s="29">
        <v>48</v>
      </c>
      <c r="AZ117" s="29">
        <v>49</v>
      </c>
      <c r="BA117" s="29">
        <v>50</v>
      </c>
      <c r="BB117" s="29">
        <v>51</v>
      </c>
      <c r="BC117" s="29">
        <v>52</v>
      </c>
      <c r="BD117" s="29">
        <v>53</v>
      </c>
      <c r="BE117" s="29">
        <v>54</v>
      </c>
      <c r="BF117" s="29">
        <v>55</v>
      </c>
      <c r="BG117" s="29">
        <v>56</v>
      </c>
      <c r="BH117" s="29">
        <v>57</v>
      </c>
      <c r="BI117" s="29">
        <v>58</v>
      </c>
      <c r="BJ117" s="29">
        <v>59</v>
      </c>
      <c r="BK117" s="29">
        <v>60</v>
      </c>
      <c r="BL117" s="29">
        <v>61</v>
      </c>
      <c r="BM117" s="29">
        <v>62</v>
      </c>
      <c r="BN117" s="29">
        <v>63</v>
      </c>
      <c r="BO117" s="29">
        <v>64</v>
      </c>
      <c r="BP117" s="29">
        <v>65</v>
      </c>
      <c r="BQ117" s="29">
        <v>66</v>
      </c>
      <c r="BR117" s="29">
        <v>67</v>
      </c>
      <c r="BS117" s="29">
        <v>68</v>
      </c>
      <c r="BT117" s="29">
        <v>69</v>
      </c>
      <c r="BU117" s="29">
        <v>70</v>
      </c>
      <c r="BV117" s="29">
        <v>71</v>
      </c>
      <c r="BW117" s="29">
        <v>72</v>
      </c>
      <c r="BX117" s="29">
        <v>73</v>
      </c>
      <c r="BY117" s="29">
        <v>74</v>
      </c>
      <c r="BZ117" s="29">
        <v>75</v>
      </c>
      <c r="CA117" s="29">
        <v>76</v>
      </c>
      <c r="CB117" s="29">
        <v>77</v>
      </c>
      <c r="CC117" s="29">
        <v>78</v>
      </c>
      <c r="CD117" s="29">
        <v>79</v>
      </c>
      <c r="CE117" s="29">
        <v>80</v>
      </c>
      <c r="CF117" s="29">
        <v>81</v>
      </c>
      <c r="CG117" s="29">
        <v>82</v>
      </c>
      <c r="CH117" s="29">
        <v>83</v>
      </c>
      <c r="CI117" s="29">
        <v>84</v>
      </c>
      <c r="CJ117" s="29">
        <v>85</v>
      </c>
      <c r="CK117" s="29">
        <v>86</v>
      </c>
      <c r="CL117" s="29">
        <v>87</v>
      </c>
      <c r="CM117" s="29">
        <v>88</v>
      </c>
      <c r="CN117" s="29">
        <v>89</v>
      </c>
      <c r="CO117" s="29">
        <v>90</v>
      </c>
      <c r="CP117" s="29">
        <v>91</v>
      </c>
      <c r="CQ117" s="29">
        <v>92</v>
      </c>
      <c r="CR117" s="29">
        <v>93</v>
      </c>
      <c r="CS117" s="29">
        <v>94</v>
      </c>
      <c r="CT117" s="29">
        <v>95</v>
      </c>
      <c r="CU117" s="29">
        <v>96</v>
      </c>
      <c r="CV117" s="29">
        <v>97</v>
      </c>
      <c r="CW117" s="29">
        <v>98</v>
      </c>
      <c r="CX117" s="29">
        <v>99</v>
      </c>
      <c r="CY117" s="29">
        <v>100</v>
      </c>
    </row>
    <row r="118" spans="1:103" ht="13">
      <c r="A118" s="2"/>
      <c r="B118" s="17"/>
      <c r="C118" s="31" t="s">
        <v>17</v>
      </c>
      <c r="D118" s="17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</row>
    <row r="119" spans="1:103" ht="13">
      <c r="A119" s="2"/>
      <c r="B119" s="17"/>
      <c r="C119" s="32">
        <v>10</v>
      </c>
      <c r="D119" s="9">
        <v>0.03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</row>
    <row r="120" spans="1:103" ht="13">
      <c r="A120" s="2"/>
      <c r="B120" s="17"/>
      <c r="C120" s="32">
        <v>100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0.01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0.01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0.01</v>
      </c>
      <c r="BM120" s="9">
        <v>0</v>
      </c>
      <c r="BN120" s="9">
        <v>0.01</v>
      </c>
      <c r="BO120" s="9">
        <v>0</v>
      </c>
      <c r="BP120" s="9">
        <v>0</v>
      </c>
      <c r="BQ120" s="9">
        <v>0</v>
      </c>
      <c r="BR120" s="9">
        <v>0</v>
      </c>
      <c r="BS120" s="9">
        <v>0.01</v>
      </c>
      <c r="BT120" s="9">
        <v>0.01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0.01</v>
      </c>
      <c r="CU120" s="9">
        <v>0</v>
      </c>
      <c r="CV120" s="9">
        <v>0</v>
      </c>
      <c r="CW120" s="9">
        <v>0.01</v>
      </c>
      <c r="CX120" s="9">
        <v>0</v>
      </c>
      <c r="CY120" s="9">
        <v>0</v>
      </c>
    </row>
    <row r="121" spans="1:103" ht="13">
      <c r="A121" s="2"/>
      <c r="B121" s="17"/>
      <c r="C121" s="32">
        <v>1000</v>
      </c>
      <c r="D121" s="9">
        <v>1E-3</v>
      </c>
      <c r="E121" s="9">
        <v>1E-3</v>
      </c>
      <c r="F121" s="9">
        <v>0</v>
      </c>
      <c r="G121" s="9">
        <v>0</v>
      </c>
      <c r="H121" s="9">
        <v>2E-3</v>
      </c>
      <c r="I121" s="9">
        <v>0</v>
      </c>
      <c r="J121" s="9">
        <v>0</v>
      </c>
      <c r="K121" s="9">
        <v>1E-3</v>
      </c>
      <c r="L121" s="9">
        <v>0</v>
      </c>
      <c r="M121" s="9">
        <v>2E-3</v>
      </c>
      <c r="N121" s="9">
        <v>0</v>
      </c>
      <c r="O121" s="9">
        <v>0</v>
      </c>
      <c r="P121" s="9">
        <v>0</v>
      </c>
      <c r="Q121" s="9">
        <v>0</v>
      </c>
      <c r="R121" s="9">
        <v>1E-3</v>
      </c>
      <c r="S121" s="9">
        <v>0</v>
      </c>
      <c r="T121" s="9">
        <v>0</v>
      </c>
      <c r="U121" s="9">
        <v>2E-3</v>
      </c>
      <c r="V121" s="9">
        <v>0</v>
      </c>
      <c r="W121" s="9">
        <v>0</v>
      </c>
      <c r="X121" s="9">
        <v>1E-3</v>
      </c>
      <c r="Y121" s="9">
        <v>1E-3</v>
      </c>
      <c r="Z121" s="9">
        <v>0</v>
      </c>
      <c r="AA121" s="9">
        <v>0</v>
      </c>
      <c r="AB121" s="9">
        <v>2E-3</v>
      </c>
      <c r="AC121" s="9">
        <v>1E-3</v>
      </c>
      <c r="AD121" s="9">
        <v>0</v>
      </c>
      <c r="AE121" s="9">
        <v>0</v>
      </c>
      <c r="AF121" s="9">
        <v>0</v>
      </c>
      <c r="AG121" s="9">
        <v>0</v>
      </c>
      <c r="AH121" s="9">
        <v>1E-3</v>
      </c>
      <c r="AI121" s="9">
        <v>0</v>
      </c>
      <c r="AJ121" s="9">
        <v>0</v>
      </c>
      <c r="AK121" s="9">
        <v>1E-3</v>
      </c>
      <c r="AL121" s="9">
        <v>0</v>
      </c>
      <c r="AM121" s="9">
        <v>0</v>
      </c>
      <c r="AN121" s="9">
        <v>1E-3</v>
      </c>
      <c r="AO121" s="9">
        <v>0</v>
      </c>
      <c r="AP121" s="9">
        <v>0</v>
      </c>
      <c r="AQ121" s="9">
        <v>0</v>
      </c>
      <c r="AR121" s="9">
        <v>1E-3</v>
      </c>
      <c r="AS121" s="9">
        <v>1E-3</v>
      </c>
      <c r="AT121" s="9">
        <v>1E-3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1E-3</v>
      </c>
      <c r="BB121" s="9">
        <v>1E-3</v>
      </c>
      <c r="BC121" s="9">
        <v>0</v>
      </c>
      <c r="BD121" s="9">
        <v>1E-3</v>
      </c>
      <c r="BE121" s="9">
        <v>1E-3</v>
      </c>
      <c r="BF121" s="9">
        <v>1E-3</v>
      </c>
      <c r="BG121" s="9">
        <v>1E-3</v>
      </c>
      <c r="BH121" s="9">
        <v>1E-3</v>
      </c>
      <c r="BI121" s="9">
        <v>1E-3</v>
      </c>
      <c r="BJ121" s="9">
        <v>0</v>
      </c>
      <c r="BK121" s="9">
        <v>1E-3</v>
      </c>
      <c r="BL121" s="9">
        <v>1E-3</v>
      </c>
      <c r="BM121" s="9">
        <v>0</v>
      </c>
      <c r="BN121" s="9">
        <v>0</v>
      </c>
      <c r="BO121" s="9">
        <v>2E-3</v>
      </c>
      <c r="BP121" s="9">
        <v>0</v>
      </c>
      <c r="BQ121" s="9">
        <v>1E-3</v>
      </c>
      <c r="BR121" s="9">
        <v>0</v>
      </c>
      <c r="BS121" s="9">
        <v>0</v>
      </c>
      <c r="BT121" s="9">
        <v>1E-3</v>
      </c>
      <c r="BU121" s="9">
        <v>2E-3</v>
      </c>
      <c r="BV121" s="9">
        <v>0</v>
      </c>
      <c r="BW121" s="9">
        <v>1E-3</v>
      </c>
      <c r="BX121" s="9">
        <v>2E-3</v>
      </c>
      <c r="BY121" s="9">
        <v>2E-3</v>
      </c>
      <c r="BZ121" s="9">
        <v>1E-3</v>
      </c>
      <c r="CA121" s="9">
        <v>1E-3</v>
      </c>
      <c r="CB121" s="9">
        <v>0</v>
      </c>
      <c r="CC121" s="9">
        <v>0</v>
      </c>
      <c r="CD121" s="9">
        <v>0</v>
      </c>
      <c r="CE121" s="9">
        <v>1E-3</v>
      </c>
      <c r="CF121" s="9">
        <v>0</v>
      </c>
      <c r="CG121" s="9">
        <v>1E-3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2E-3</v>
      </c>
      <c r="CN121" s="9">
        <v>0</v>
      </c>
      <c r="CO121" s="9">
        <v>1E-3</v>
      </c>
      <c r="CP121" s="9">
        <v>1E-3</v>
      </c>
      <c r="CQ121" s="9">
        <v>2E-3</v>
      </c>
      <c r="CR121" s="9">
        <v>0</v>
      </c>
      <c r="CS121" s="9">
        <v>0</v>
      </c>
      <c r="CT121" s="9">
        <v>0</v>
      </c>
      <c r="CU121" s="9">
        <v>1E-3</v>
      </c>
      <c r="CV121" s="9">
        <v>0</v>
      </c>
      <c r="CW121" s="9">
        <v>1E-3</v>
      </c>
      <c r="CX121" s="9">
        <v>0</v>
      </c>
      <c r="CY121" s="9">
        <v>2E-3</v>
      </c>
    </row>
    <row r="122" spans="1:103" ht="13">
      <c r="A122" s="2"/>
      <c r="B122" s="17"/>
      <c r="C122" s="32">
        <v>10000</v>
      </c>
      <c r="D122" s="9">
        <v>8.0000000000000004E-4</v>
      </c>
      <c r="E122" s="9">
        <v>8.0000000000000004E-4</v>
      </c>
      <c r="F122" s="9">
        <v>8.0000000000000004E-4</v>
      </c>
      <c r="G122" s="9">
        <v>2.9999999999999997E-4</v>
      </c>
      <c r="H122" s="9">
        <v>1E-4</v>
      </c>
      <c r="I122" s="9">
        <v>5.9999999999999995E-4</v>
      </c>
      <c r="J122" s="9">
        <v>1.1000000000000001E-3</v>
      </c>
      <c r="K122" s="9">
        <v>6.9999999999999999E-4</v>
      </c>
      <c r="L122" s="9">
        <v>5.0000000000000001E-4</v>
      </c>
      <c r="M122" s="9">
        <v>5.0000000000000001E-4</v>
      </c>
      <c r="N122" s="9">
        <v>4.0000000000000002E-4</v>
      </c>
      <c r="O122" s="9">
        <v>5.9999999999999995E-4</v>
      </c>
      <c r="P122" s="9">
        <v>6.9999999999999999E-4</v>
      </c>
      <c r="Q122" s="9">
        <v>6.9999999999999999E-4</v>
      </c>
      <c r="R122" s="9">
        <v>5.9999999999999995E-4</v>
      </c>
      <c r="S122" s="9">
        <v>5.9999999999999995E-4</v>
      </c>
      <c r="T122" s="9">
        <v>8.0000000000000004E-4</v>
      </c>
      <c r="U122" s="9">
        <v>1E-3</v>
      </c>
      <c r="V122" s="9">
        <v>8.0000000000000004E-4</v>
      </c>
      <c r="W122" s="9">
        <v>1.1999999999999999E-3</v>
      </c>
      <c r="X122" s="9">
        <v>4.0000000000000002E-4</v>
      </c>
      <c r="Y122" s="9">
        <v>4.0000000000000002E-4</v>
      </c>
      <c r="Z122" s="9">
        <v>4.0000000000000002E-4</v>
      </c>
      <c r="AA122" s="9">
        <v>2.9999999999999997E-4</v>
      </c>
      <c r="AB122" s="9">
        <v>5.0000000000000001E-4</v>
      </c>
      <c r="AC122" s="9">
        <v>1E-3</v>
      </c>
      <c r="AD122" s="9">
        <v>5.9999999999999995E-4</v>
      </c>
      <c r="AE122" s="9">
        <v>4.0000000000000002E-4</v>
      </c>
      <c r="AF122" s="9">
        <v>5.0000000000000001E-4</v>
      </c>
      <c r="AG122" s="9">
        <v>8.0000000000000004E-4</v>
      </c>
      <c r="AH122" s="9">
        <v>5.0000000000000001E-4</v>
      </c>
      <c r="AI122" s="9">
        <v>5.9999999999999995E-4</v>
      </c>
      <c r="AJ122" s="9">
        <v>8.0000000000000004E-4</v>
      </c>
      <c r="AK122" s="9">
        <v>1E-3</v>
      </c>
      <c r="AL122" s="9">
        <v>6.9999999999999999E-4</v>
      </c>
      <c r="AM122" s="9">
        <v>8.9999999999999998E-4</v>
      </c>
      <c r="AN122" s="9">
        <v>5.0000000000000001E-4</v>
      </c>
      <c r="AO122" s="9">
        <v>4.0000000000000002E-4</v>
      </c>
      <c r="AP122" s="9">
        <v>4.0000000000000002E-4</v>
      </c>
      <c r="AQ122" s="9">
        <v>5.0000000000000001E-4</v>
      </c>
      <c r="AR122" s="9">
        <v>5.0000000000000001E-4</v>
      </c>
      <c r="AS122" s="9">
        <v>5.0000000000000001E-4</v>
      </c>
      <c r="AT122" s="9">
        <v>5.9999999999999995E-4</v>
      </c>
      <c r="AU122" s="9">
        <v>5.0000000000000001E-4</v>
      </c>
      <c r="AV122" s="9">
        <v>8.0000000000000004E-4</v>
      </c>
      <c r="AW122" s="9">
        <v>5.0000000000000001E-4</v>
      </c>
      <c r="AX122" s="9">
        <v>2.9999999999999997E-4</v>
      </c>
      <c r="AY122" s="9">
        <v>2.9999999999999997E-4</v>
      </c>
      <c r="AZ122" s="9">
        <v>8.0000000000000004E-4</v>
      </c>
      <c r="BA122" s="9">
        <v>8.0000000000000004E-4</v>
      </c>
      <c r="BB122" s="9">
        <v>1.1000000000000001E-3</v>
      </c>
      <c r="BC122" s="9">
        <v>6.9999999999999999E-4</v>
      </c>
      <c r="BD122" s="9">
        <v>5.9999999999999995E-4</v>
      </c>
      <c r="BE122" s="9">
        <v>4.0000000000000002E-4</v>
      </c>
      <c r="BF122" s="9">
        <v>8.0000000000000004E-4</v>
      </c>
      <c r="BG122" s="9">
        <v>6.9999999999999999E-4</v>
      </c>
      <c r="BH122" s="9">
        <v>5.0000000000000001E-4</v>
      </c>
      <c r="BI122" s="9">
        <v>6.9999999999999999E-4</v>
      </c>
      <c r="BJ122" s="9">
        <v>8.0000000000000004E-4</v>
      </c>
      <c r="BK122" s="9">
        <v>6.9999999999999999E-4</v>
      </c>
      <c r="BL122" s="9">
        <v>2.9999999999999997E-4</v>
      </c>
      <c r="BM122" s="9">
        <v>8.9999999999999998E-4</v>
      </c>
      <c r="BN122" s="9">
        <v>4.0000000000000002E-4</v>
      </c>
      <c r="BO122" s="9">
        <v>5.0000000000000001E-4</v>
      </c>
      <c r="BP122" s="9">
        <v>2.9999999999999997E-4</v>
      </c>
      <c r="BQ122" s="9">
        <v>8.0000000000000004E-4</v>
      </c>
      <c r="BR122" s="9">
        <v>5.0000000000000001E-4</v>
      </c>
      <c r="BS122" s="9">
        <v>5.0000000000000001E-4</v>
      </c>
      <c r="BT122" s="9">
        <v>5.0000000000000001E-4</v>
      </c>
      <c r="BU122" s="9">
        <v>8.0000000000000004E-4</v>
      </c>
      <c r="BV122" s="9">
        <v>5.0000000000000001E-4</v>
      </c>
      <c r="BW122" s="9">
        <v>1.1000000000000001E-3</v>
      </c>
      <c r="BX122" s="9">
        <v>2.9999999999999997E-4</v>
      </c>
      <c r="BY122" s="9">
        <v>5.9999999999999995E-4</v>
      </c>
      <c r="BZ122" s="9">
        <v>5.9999999999999995E-4</v>
      </c>
      <c r="CA122" s="9">
        <v>8.0000000000000004E-4</v>
      </c>
      <c r="CB122" s="9">
        <v>5.9999999999999995E-4</v>
      </c>
      <c r="CC122" s="9">
        <v>1E-3</v>
      </c>
      <c r="CD122" s="9">
        <v>2.9999999999999997E-4</v>
      </c>
      <c r="CE122" s="9">
        <v>8.0000000000000004E-4</v>
      </c>
      <c r="CF122" s="9">
        <v>8.9999999999999998E-4</v>
      </c>
      <c r="CG122" s="9">
        <v>8.9999999999999998E-4</v>
      </c>
      <c r="CH122" s="9">
        <v>8.0000000000000004E-4</v>
      </c>
      <c r="CI122" s="9">
        <v>8.0000000000000004E-4</v>
      </c>
      <c r="CJ122" s="9">
        <v>4.0000000000000002E-4</v>
      </c>
      <c r="CK122" s="9">
        <v>4.0000000000000002E-4</v>
      </c>
      <c r="CL122" s="9">
        <v>6.9999999999999999E-4</v>
      </c>
      <c r="CM122" s="9">
        <v>1E-3</v>
      </c>
      <c r="CN122" s="9">
        <v>4.0000000000000002E-4</v>
      </c>
      <c r="CO122" s="9">
        <v>4.0000000000000002E-4</v>
      </c>
      <c r="CP122" s="9">
        <v>4.0000000000000002E-4</v>
      </c>
      <c r="CQ122" s="9">
        <v>6.9999999999999999E-4</v>
      </c>
      <c r="CR122" s="9">
        <v>5.9999999999999995E-4</v>
      </c>
      <c r="CS122" s="9">
        <v>4.0000000000000002E-4</v>
      </c>
      <c r="CT122" s="9">
        <v>5.9999999999999995E-4</v>
      </c>
      <c r="CU122" s="9">
        <v>5.9999999999999995E-4</v>
      </c>
      <c r="CV122" s="9">
        <v>2.9999999999999997E-4</v>
      </c>
      <c r="CW122" s="9">
        <v>8.0000000000000004E-4</v>
      </c>
      <c r="CX122" s="9">
        <v>5.9999999999999995E-4</v>
      </c>
      <c r="CY122" s="9">
        <v>1.2999999999999999E-3</v>
      </c>
    </row>
    <row r="123" spans="1:103" ht="13">
      <c r="A123" s="2"/>
      <c r="B123" s="17"/>
      <c r="C123" s="32">
        <v>100000</v>
      </c>
      <c r="D123" s="9">
        <v>6.4999999999999997E-4</v>
      </c>
      <c r="E123" s="9">
        <v>5.6999999999999998E-4</v>
      </c>
      <c r="F123" s="9">
        <v>5.9000000000000003E-4</v>
      </c>
      <c r="G123" s="9">
        <v>4.8000000000000001E-4</v>
      </c>
      <c r="H123" s="9">
        <v>5.9000000000000003E-4</v>
      </c>
      <c r="I123" s="9">
        <v>8.0000000000000004E-4</v>
      </c>
      <c r="J123" s="9">
        <v>6.0999999999999997E-4</v>
      </c>
      <c r="K123" s="9">
        <v>6.4000000000000005E-4</v>
      </c>
      <c r="L123" s="9">
        <v>7.2000000000000005E-4</v>
      </c>
      <c r="M123" s="9">
        <v>4.6999999999999999E-4</v>
      </c>
      <c r="N123" s="9">
        <v>6.3000000000000003E-4</v>
      </c>
      <c r="O123" s="9">
        <v>5.4000000000000001E-4</v>
      </c>
      <c r="P123" s="9">
        <v>4.8999999999999998E-4</v>
      </c>
      <c r="Q123" s="9">
        <v>5.9000000000000003E-4</v>
      </c>
      <c r="R123" s="9">
        <v>7.2999999999999996E-4</v>
      </c>
      <c r="S123" s="9">
        <v>5.4000000000000001E-4</v>
      </c>
      <c r="T123" s="9">
        <v>6.0999999999999997E-4</v>
      </c>
      <c r="U123" s="9">
        <v>6.8000000000000005E-4</v>
      </c>
      <c r="V123" s="9">
        <v>6.3000000000000003E-4</v>
      </c>
      <c r="W123" s="9">
        <v>5.8E-4</v>
      </c>
      <c r="X123" s="9">
        <v>5.8E-4</v>
      </c>
      <c r="Y123" s="9">
        <v>5.8E-4</v>
      </c>
      <c r="Z123" s="9">
        <v>6.2E-4</v>
      </c>
      <c r="AA123" s="9">
        <v>6.0999999999999997E-4</v>
      </c>
      <c r="AB123" s="9">
        <v>6.4000000000000005E-4</v>
      </c>
      <c r="AC123" s="9">
        <v>5.9000000000000003E-4</v>
      </c>
      <c r="AD123" s="9">
        <v>6.7000000000000002E-4</v>
      </c>
      <c r="AE123" s="9">
        <v>5.4000000000000001E-4</v>
      </c>
      <c r="AF123" s="9">
        <v>5.1000000000000004E-4</v>
      </c>
      <c r="AG123" s="9">
        <v>5.2999999999999998E-4</v>
      </c>
      <c r="AH123" s="9">
        <v>7.2000000000000005E-4</v>
      </c>
      <c r="AI123" s="9">
        <v>5.5999999999999995E-4</v>
      </c>
      <c r="AJ123" s="9">
        <v>3.8999999999999999E-4</v>
      </c>
      <c r="AK123" s="9">
        <v>6.3000000000000003E-4</v>
      </c>
      <c r="AL123" s="9">
        <v>5.1999999999999995E-4</v>
      </c>
      <c r="AM123" s="9">
        <v>5.8E-4</v>
      </c>
      <c r="AN123" s="9">
        <v>7.2999999999999996E-4</v>
      </c>
      <c r="AO123" s="9">
        <v>5.9000000000000003E-4</v>
      </c>
      <c r="AP123" s="9">
        <v>5.8E-4</v>
      </c>
      <c r="AQ123" s="9">
        <v>5.0000000000000001E-4</v>
      </c>
      <c r="AR123" s="9">
        <v>5.9999999999999995E-4</v>
      </c>
      <c r="AS123" s="9">
        <v>5.8E-4</v>
      </c>
      <c r="AT123" s="9">
        <v>5.1000000000000004E-4</v>
      </c>
      <c r="AU123" s="9">
        <v>6.0999999999999997E-4</v>
      </c>
      <c r="AV123" s="9">
        <v>5.5000000000000003E-4</v>
      </c>
      <c r="AW123" s="9">
        <v>4.4000000000000002E-4</v>
      </c>
      <c r="AX123" s="9">
        <v>6.7000000000000002E-4</v>
      </c>
      <c r="AY123" s="9">
        <v>7.1000000000000002E-4</v>
      </c>
      <c r="AZ123" s="9">
        <v>5.6999999999999998E-4</v>
      </c>
      <c r="BA123" s="9">
        <v>6.4999999999999997E-4</v>
      </c>
      <c r="BB123" s="9">
        <v>5.6999999999999998E-4</v>
      </c>
      <c r="BC123" s="9">
        <v>5.9999999999999995E-4</v>
      </c>
      <c r="BD123" s="9">
        <v>5.9999999999999995E-4</v>
      </c>
      <c r="BE123" s="9">
        <v>5.2999999999999998E-4</v>
      </c>
      <c r="BF123" s="9">
        <v>6.3000000000000003E-4</v>
      </c>
      <c r="BG123" s="9">
        <v>5.9999999999999995E-4</v>
      </c>
      <c r="BH123" s="9">
        <v>7.5000000000000002E-4</v>
      </c>
      <c r="BI123" s="9">
        <v>4.6999999999999999E-4</v>
      </c>
      <c r="BJ123" s="9">
        <v>6.2E-4</v>
      </c>
      <c r="BK123" s="9">
        <v>5.1000000000000004E-4</v>
      </c>
      <c r="BL123" s="9">
        <v>5.8E-4</v>
      </c>
      <c r="BM123" s="9">
        <v>5.2999999999999998E-4</v>
      </c>
      <c r="BN123" s="9">
        <v>5.9999999999999995E-4</v>
      </c>
      <c r="BO123" s="9">
        <v>4.4000000000000002E-4</v>
      </c>
      <c r="BP123" s="9">
        <v>4.8000000000000001E-4</v>
      </c>
      <c r="BQ123" s="9">
        <v>6.4000000000000005E-4</v>
      </c>
      <c r="BR123" s="9">
        <v>6.4000000000000005E-4</v>
      </c>
      <c r="BS123" s="9">
        <v>7.1000000000000002E-4</v>
      </c>
      <c r="BT123" s="9">
        <v>5.9999999999999995E-4</v>
      </c>
      <c r="BU123" s="9">
        <v>5.5999999999999995E-4</v>
      </c>
      <c r="BV123" s="9">
        <v>6.2E-4</v>
      </c>
      <c r="BW123" s="9">
        <v>5.8E-4</v>
      </c>
      <c r="BX123" s="9">
        <v>5.5999999999999995E-4</v>
      </c>
      <c r="BY123" s="9">
        <v>5.5999999999999995E-4</v>
      </c>
      <c r="BZ123" s="9">
        <v>7.6999999999999996E-4</v>
      </c>
      <c r="CA123" s="9">
        <v>5.9999999999999995E-4</v>
      </c>
      <c r="CB123" s="9">
        <v>5.9999999999999995E-4</v>
      </c>
      <c r="CC123" s="9">
        <v>6.4999999999999997E-4</v>
      </c>
      <c r="CD123" s="9">
        <v>4.8999999999999998E-4</v>
      </c>
      <c r="CE123" s="9">
        <v>5.5000000000000003E-4</v>
      </c>
      <c r="CF123" s="9">
        <v>5.2999999999999998E-4</v>
      </c>
      <c r="CG123" s="9">
        <v>5.2999999999999998E-4</v>
      </c>
      <c r="CH123" s="9">
        <v>5.5000000000000003E-4</v>
      </c>
      <c r="CI123" s="9">
        <v>7.2000000000000005E-4</v>
      </c>
      <c r="CJ123" s="9">
        <v>5.5999999999999995E-4</v>
      </c>
      <c r="CK123" s="9">
        <v>6.0999999999999997E-4</v>
      </c>
      <c r="CL123" s="9">
        <v>5.9000000000000003E-4</v>
      </c>
      <c r="CM123" s="9">
        <v>5.1000000000000004E-4</v>
      </c>
      <c r="CN123" s="9">
        <v>6.0999999999999997E-4</v>
      </c>
      <c r="CO123" s="9">
        <v>6.3000000000000003E-4</v>
      </c>
      <c r="CP123" s="9">
        <v>6.8000000000000005E-4</v>
      </c>
      <c r="CQ123" s="9">
        <v>5.9999999999999995E-4</v>
      </c>
      <c r="CR123" s="9">
        <v>6.4999999999999997E-4</v>
      </c>
      <c r="CS123" s="9">
        <v>5.2999999999999998E-4</v>
      </c>
      <c r="CT123" s="9">
        <v>7.1000000000000002E-4</v>
      </c>
      <c r="CU123" s="9">
        <v>6.6E-4</v>
      </c>
      <c r="CV123" s="9">
        <v>4.2999999999999999E-4</v>
      </c>
      <c r="CW123" s="9">
        <v>5.4000000000000001E-4</v>
      </c>
      <c r="CX123" s="9">
        <v>6.0999999999999997E-4</v>
      </c>
      <c r="CY123" s="9">
        <v>6.0999999999999997E-4</v>
      </c>
    </row>
    <row r="124" spans="1:103" ht="13">
      <c r="A124" s="2"/>
      <c r="B124" s="17"/>
      <c r="C124" s="32">
        <v>1000000</v>
      </c>
      <c r="D124" s="9">
        <v>6.2200000000000005E-4</v>
      </c>
      <c r="E124" s="9">
        <v>6.2100000000000002E-4</v>
      </c>
      <c r="F124" s="9">
        <v>6.0700000000000001E-4</v>
      </c>
      <c r="G124" s="9">
        <v>5.9400000000000002E-4</v>
      </c>
      <c r="H124" s="9">
        <v>5.7200000000000003E-4</v>
      </c>
      <c r="I124" s="9">
        <v>5.5900000000000004E-4</v>
      </c>
      <c r="J124" s="9">
        <v>6.2399999999999999E-4</v>
      </c>
      <c r="K124" s="9">
        <v>6.0899999999999995E-4</v>
      </c>
      <c r="L124" s="9">
        <v>5.6899999999999995E-4</v>
      </c>
      <c r="M124" s="9">
        <v>5.9299999999999999E-4</v>
      </c>
      <c r="N124" s="9">
        <v>5.4500000000000002E-4</v>
      </c>
      <c r="O124" s="9">
        <v>5.9699999999999998E-4</v>
      </c>
      <c r="P124" s="9">
        <v>6.0999999999999997E-4</v>
      </c>
      <c r="Q124" s="9">
        <v>6.02E-4</v>
      </c>
      <c r="R124" s="9">
        <v>5.8299999999999997E-4</v>
      </c>
      <c r="S124" s="9">
        <v>5.9299999999999999E-4</v>
      </c>
      <c r="T124" s="9">
        <v>5.6400000000000005E-4</v>
      </c>
      <c r="U124" s="9">
        <v>6.1600000000000001E-4</v>
      </c>
      <c r="V124" s="9">
        <v>5.8699999999999996E-4</v>
      </c>
      <c r="W124" s="9">
        <v>5.7600000000000001E-4</v>
      </c>
      <c r="X124" s="9">
        <v>5.9599999999999996E-4</v>
      </c>
      <c r="Y124" s="9">
        <v>5.9900000000000003E-4</v>
      </c>
      <c r="Z124" s="9">
        <v>5.6999999999999998E-4</v>
      </c>
      <c r="AA124" s="9">
        <v>5.7899999999999998E-4</v>
      </c>
      <c r="AB124" s="9">
        <v>5.8600000000000004E-4</v>
      </c>
      <c r="AC124" s="9">
        <v>6.1799999999999995E-4</v>
      </c>
      <c r="AD124" s="9">
        <v>6.2E-4</v>
      </c>
      <c r="AE124" s="9">
        <v>5.7700000000000004E-4</v>
      </c>
      <c r="AF124" s="9">
        <v>5.8200000000000005E-4</v>
      </c>
      <c r="AG124" s="9">
        <v>6.0499999999999996E-4</v>
      </c>
      <c r="AH124" s="9">
        <v>5.8500000000000002E-4</v>
      </c>
      <c r="AI124" s="9">
        <v>5.9800000000000001E-4</v>
      </c>
      <c r="AJ124" s="9">
        <v>6.2399999999999999E-4</v>
      </c>
      <c r="AK124" s="9">
        <v>5.5500000000000005E-4</v>
      </c>
      <c r="AL124" s="9">
        <v>6.4000000000000005E-4</v>
      </c>
      <c r="AM124" s="9">
        <v>5.9699999999999998E-4</v>
      </c>
      <c r="AN124" s="9">
        <v>6.3299999999999999E-4</v>
      </c>
      <c r="AO124" s="9">
        <v>6.0400000000000004E-4</v>
      </c>
      <c r="AP124" s="9">
        <v>6.4499999999999996E-4</v>
      </c>
      <c r="AQ124" s="9">
        <v>5.9100000000000005E-4</v>
      </c>
      <c r="AR124" s="9">
        <v>5.8200000000000005E-4</v>
      </c>
      <c r="AS124" s="9">
        <v>5.8200000000000005E-4</v>
      </c>
      <c r="AT124" s="9">
        <v>6.0599999999999998E-4</v>
      </c>
      <c r="AU124" s="9">
        <v>6.4899999999999995E-4</v>
      </c>
      <c r="AV124" s="9">
        <v>5.9999999999999995E-4</v>
      </c>
      <c r="AW124" s="9">
        <v>5.6800000000000004E-4</v>
      </c>
      <c r="AX124" s="9">
        <v>6.2699999999999995E-4</v>
      </c>
      <c r="AY124" s="9">
        <v>5.9699999999999998E-4</v>
      </c>
      <c r="AZ124" s="9">
        <v>5.8299999999999997E-4</v>
      </c>
      <c r="BA124" s="9">
        <v>6.0800000000000003E-4</v>
      </c>
      <c r="BB124" s="9">
        <v>6.2500000000000001E-4</v>
      </c>
      <c r="BC124" s="9">
        <v>5.8200000000000005E-4</v>
      </c>
      <c r="BD124" s="9">
        <v>6.3500000000000004E-4</v>
      </c>
      <c r="BE124" s="9">
        <v>5.9900000000000003E-4</v>
      </c>
      <c r="BF124" s="9">
        <v>6.1700000000000004E-4</v>
      </c>
      <c r="BG124" s="9">
        <v>6.2E-4</v>
      </c>
      <c r="BH124" s="9">
        <v>5.6999999999999998E-4</v>
      </c>
      <c r="BI124" s="9">
        <v>6.0400000000000004E-4</v>
      </c>
      <c r="BJ124" s="9">
        <v>6.1700000000000004E-4</v>
      </c>
      <c r="BK124" s="9">
        <v>6.0800000000000003E-4</v>
      </c>
      <c r="BL124" s="9">
        <v>6.0700000000000001E-4</v>
      </c>
      <c r="BM124" s="9">
        <v>6.1499999999999999E-4</v>
      </c>
      <c r="BN124" s="9">
        <v>6.3900000000000003E-4</v>
      </c>
      <c r="BO124" s="9">
        <v>6.0400000000000004E-4</v>
      </c>
      <c r="BP124" s="9">
        <v>6.02E-4</v>
      </c>
      <c r="BQ124" s="9">
        <v>5.9199999999999997E-4</v>
      </c>
      <c r="BR124" s="9">
        <v>6.2E-4</v>
      </c>
      <c r="BS124" s="9">
        <v>6.4499999999999996E-4</v>
      </c>
      <c r="BT124" s="9">
        <v>6.02E-4</v>
      </c>
      <c r="BU124" s="9">
        <v>5.9299999999999999E-4</v>
      </c>
      <c r="BV124" s="9">
        <v>6.3199999999999997E-4</v>
      </c>
      <c r="BW124" s="9">
        <v>6.2699999999999995E-4</v>
      </c>
      <c r="BX124" s="9">
        <v>6.2E-4</v>
      </c>
      <c r="BY124" s="9">
        <v>6.0999999999999997E-4</v>
      </c>
      <c r="BZ124" s="9">
        <v>5.5000000000000003E-4</v>
      </c>
      <c r="CA124" s="9">
        <v>6.0899999999999995E-4</v>
      </c>
      <c r="CB124" s="9">
        <v>5.9400000000000002E-4</v>
      </c>
      <c r="CC124" s="9">
        <v>5.9299999999999999E-4</v>
      </c>
      <c r="CD124" s="9">
        <v>6.0400000000000004E-4</v>
      </c>
      <c r="CE124" s="9">
        <v>5.7700000000000004E-4</v>
      </c>
      <c r="CF124" s="9">
        <v>5.9199999999999997E-4</v>
      </c>
      <c r="CG124" s="9">
        <v>5.9299999999999999E-4</v>
      </c>
      <c r="CH124" s="9">
        <v>5.5699999999999999E-4</v>
      </c>
      <c r="CI124" s="9">
        <v>6.3199999999999997E-4</v>
      </c>
      <c r="CJ124" s="9">
        <v>6.1399999999999996E-4</v>
      </c>
      <c r="CK124" s="9">
        <v>5.5400000000000002E-4</v>
      </c>
      <c r="CL124" s="9">
        <v>5.7600000000000001E-4</v>
      </c>
      <c r="CM124" s="9">
        <v>5.7300000000000005E-4</v>
      </c>
      <c r="CN124" s="9">
        <v>5.71E-4</v>
      </c>
      <c r="CO124" s="9">
        <v>5.9800000000000001E-4</v>
      </c>
      <c r="CP124" s="9">
        <v>6.1499999999999999E-4</v>
      </c>
      <c r="CQ124" s="9">
        <v>6.3699999999999998E-4</v>
      </c>
      <c r="CR124" s="9">
        <v>5.8900000000000001E-4</v>
      </c>
      <c r="CS124" s="9">
        <v>5.6899999999999995E-4</v>
      </c>
      <c r="CT124" s="9">
        <v>6.2500000000000001E-4</v>
      </c>
      <c r="CU124" s="9">
        <v>6.0300000000000002E-4</v>
      </c>
      <c r="CV124" s="9">
        <v>6.2100000000000002E-4</v>
      </c>
      <c r="CW124" s="9">
        <v>6.4700000000000001E-4</v>
      </c>
      <c r="CX124" s="9">
        <v>5.6999999999999998E-4</v>
      </c>
      <c r="CY124" s="9">
        <v>6.2100000000000002E-4</v>
      </c>
    </row>
    <row r="125" spans="1:103" ht="13">
      <c r="A125" s="2"/>
      <c r="B125" s="17"/>
      <c r="C125" s="31"/>
      <c r="D125" s="17"/>
      <c r="E125" s="17"/>
      <c r="F125" s="17"/>
      <c r="G125" s="17"/>
      <c r="H125" s="21"/>
      <c r="I125" s="21"/>
      <c r="J125" s="21"/>
      <c r="K125" s="21"/>
      <c r="L125" s="21"/>
      <c r="M125" s="21"/>
      <c r="N125" s="21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</row>
    <row r="126" spans="1:103" ht="13">
      <c r="A126" s="2"/>
      <c r="B126" s="27" t="s">
        <v>28</v>
      </c>
      <c r="C126" s="31"/>
      <c r="D126" s="17"/>
      <c r="E126" s="17"/>
      <c r="F126" s="17"/>
      <c r="G126" s="17"/>
      <c r="H126" s="21"/>
      <c r="I126" s="21"/>
      <c r="J126" s="21"/>
      <c r="K126" s="21"/>
      <c r="L126" s="21"/>
      <c r="M126" s="21"/>
      <c r="N126" s="21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</row>
    <row r="127" spans="1:103" ht="13">
      <c r="A127" s="2"/>
      <c r="B127" s="17"/>
      <c r="C127" s="31" t="s">
        <v>17</v>
      </c>
      <c r="D127" s="1" t="s">
        <v>29</v>
      </c>
      <c r="E127" s="1" t="s">
        <v>30</v>
      </c>
      <c r="F127" s="1" t="s">
        <v>18</v>
      </c>
      <c r="G127" s="17"/>
      <c r="H127" s="21"/>
      <c r="I127" s="21"/>
      <c r="J127" s="21"/>
      <c r="K127" s="21"/>
      <c r="L127" s="21"/>
      <c r="M127" s="21"/>
      <c r="N127" s="21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</row>
    <row r="128" spans="1:103" ht="13">
      <c r="A128" s="2"/>
      <c r="B128" s="17"/>
      <c r="C128" s="32">
        <v>10</v>
      </c>
      <c r="D128" s="29">
        <v>5.9958500000000003E-4</v>
      </c>
      <c r="E128" s="29">
        <f t="shared" ref="E128:E133" si="11">AVERAGE(D119:CY119)</f>
        <v>2.9999999999999997E-4</v>
      </c>
      <c r="F128">
        <f t="shared" ref="F128:F133" si="12">D51</f>
        <v>4.4999999999999999E-4</v>
      </c>
      <c r="G128" s="17"/>
      <c r="H128" s="21"/>
      <c r="I128" s="21"/>
      <c r="J128" s="21"/>
      <c r="K128" s="21"/>
      <c r="L128" s="21"/>
      <c r="M128" s="21"/>
      <c r="N128" s="21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</row>
    <row r="129" spans="1:103" ht="13">
      <c r="A129" s="2"/>
      <c r="B129" s="17"/>
      <c r="C129" s="32">
        <v>100</v>
      </c>
      <c r="D129" s="29">
        <v>5.9958500000000003E-4</v>
      </c>
      <c r="E129" s="29">
        <f t="shared" si="11"/>
        <v>8.0000000000000004E-4</v>
      </c>
      <c r="F129">
        <f t="shared" si="12"/>
        <v>5.7000000000000019E-4</v>
      </c>
      <c r="G129" s="17"/>
      <c r="H129" s="21"/>
      <c r="I129" s="21"/>
      <c r="J129" s="21"/>
      <c r="K129" s="21"/>
      <c r="L129" s="21"/>
      <c r="M129" s="21"/>
      <c r="N129" s="21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</row>
    <row r="130" spans="1:103" ht="13">
      <c r="A130" s="2"/>
      <c r="B130" s="17"/>
      <c r="C130" s="32">
        <v>1000</v>
      </c>
      <c r="D130" s="29">
        <v>5.9958500000000003E-4</v>
      </c>
      <c r="E130" s="29">
        <f t="shared" si="11"/>
        <v>5.6000000000000038E-4</v>
      </c>
      <c r="F130">
        <f t="shared" si="12"/>
        <v>6.0150000000000015E-4</v>
      </c>
      <c r="G130" s="17"/>
      <c r="H130" s="21"/>
      <c r="I130" s="21"/>
      <c r="J130" s="21"/>
      <c r="K130" s="21"/>
      <c r="L130" s="21"/>
      <c r="M130" s="21"/>
      <c r="N130" s="21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</row>
    <row r="131" spans="1:103" ht="13">
      <c r="A131" s="2"/>
      <c r="B131" s="17"/>
      <c r="C131" s="32">
        <v>10000</v>
      </c>
      <c r="D131" s="29">
        <v>5.9958500000000003E-4</v>
      </c>
      <c r="E131" s="29">
        <f t="shared" si="11"/>
        <v>6.2900000000000022E-4</v>
      </c>
      <c r="F131">
        <f t="shared" si="12"/>
        <v>5.934E-4</v>
      </c>
      <c r="G131" s="17"/>
      <c r="H131" s="21"/>
      <c r="I131" s="21"/>
      <c r="J131" s="21"/>
      <c r="K131" s="21"/>
      <c r="L131" s="21"/>
      <c r="M131" s="21"/>
      <c r="N131" s="21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</row>
    <row r="132" spans="1:103" ht="13">
      <c r="A132" s="2"/>
      <c r="B132" s="17"/>
      <c r="C132" s="32">
        <v>100000</v>
      </c>
      <c r="D132" s="29">
        <v>5.9958500000000003E-4</v>
      </c>
      <c r="E132" s="29">
        <f t="shared" si="11"/>
        <v>5.920000000000003E-4</v>
      </c>
      <c r="F132">
        <f t="shared" si="12"/>
        <v>6.001349999999998E-4</v>
      </c>
      <c r="G132" s="17"/>
      <c r="H132" s="21"/>
      <c r="I132" s="21"/>
      <c r="J132" s="21"/>
      <c r="K132" s="21"/>
      <c r="L132" s="21"/>
      <c r="M132" s="21"/>
      <c r="N132" s="21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</row>
    <row r="133" spans="1:103" ht="13">
      <c r="A133" s="2"/>
      <c r="B133" s="17"/>
      <c r="C133" s="32">
        <v>1000000</v>
      </c>
      <c r="D133" s="29">
        <v>5.9958500000000003E-4</v>
      </c>
      <c r="E133" s="29">
        <f t="shared" si="11"/>
        <v>6.0018000000000029E-4</v>
      </c>
      <c r="F133">
        <f t="shared" si="12"/>
        <v>5.9781750000000044E-4</v>
      </c>
      <c r="G133" s="17"/>
      <c r="H133" s="21"/>
      <c r="I133" s="21"/>
      <c r="J133" s="21"/>
      <c r="K133" s="21"/>
      <c r="L133" s="21"/>
      <c r="M133" s="21"/>
      <c r="N133" s="21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</row>
    <row r="134" spans="1:103" ht="13">
      <c r="A134" s="2"/>
      <c r="B134" s="17"/>
      <c r="C134" s="31"/>
      <c r="D134" s="17"/>
      <c r="E134" s="17"/>
      <c r="F134" s="17"/>
      <c r="G134" s="17"/>
      <c r="H134" s="21"/>
      <c r="I134" s="21"/>
      <c r="J134" s="21"/>
      <c r="K134" s="21"/>
      <c r="L134" s="21"/>
      <c r="M134" s="21"/>
      <c r="N134" s="21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</row>
    <row r="135" spans="1:103" ht="13">
      <c r="A135" s="2"/>
      <c r="B135" s="27" t="s">
        <v>31</v>
      </c>
      <c r="C135" s="31"/>
      <c r="D135" s="17"/>
      <c r="E135" s="17"/>
      <c r="F135" s="17"/>
      <c r="G135" s="17"/>
      <c r="H135" s="21"/>
      <c r="I135" s="21"/>
      <c r="J135" s="21"/>
      <c r="K135" s="21"/>
      <c r="L135" s="21"/>
      <c r="M135" s="21"/>
      <c r="N135" s="21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</row>
    <row r="136" spans="1:103" ht="13">
      <c r="A136" s="2"/>
      <c r="B136" s="17"/>
      <c r="C136" s="31" t="s">
        <v>17</v>
      </c>
      <c r="D136" s="1" t="s">
        <v>32</v>
      </c>
      <c r="E136" s="1" t="s">
        <v>33</v>
      </c>
      <c r="F136" s="35" t="s">
        <v>34</v>
      </c>
      <c r="G136" s="35"/>
      <c r="H136" s="21"/>
      <c r="I136" s="21"/>
      <c r="J136" s="21"/>
      <c r="K136" s="21"/>
      <c r="L136" s="21"/>
      <c r="M136" s="21"/>
      <c r="N136" s="21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</row>
    <row r="137" spans="1:103" ht="13">
      <c r="A137" s="2"/>
      <c r="B137" s="17"/>
      <c r="C137" s="32">
        <v>10</v>
      </c>
      <c r="D137" s="38" t="e">
        <f t="shared" ref="D137:D142" ca="1" si="13">_xludf.VAR.S(D119:CY119) * 10000</f>
        <v>#NAME?</v>
      </c>
      <c r="E137" s="31">
        <f t="shared" ref="E137:E142" si="14">D128*(1-D128)/C137 * 10000</f>
        <v>0.59922549782777501</v>
      </c>
      <c r="F137" s="17" t="e">
        <f t="shared" ref="F137:F142" ca="1" si="15">E51 * 10000</f>
        <v>#NAME?</v>
      </c>
      <c r="G137" s="17"/>
      <c r="H137" s="21"/>
      <c r="I137" s="21"/>
      <c r="J137" s="21"/>
      <c r="K137" s="21"/>
      <c r="L137" s="21"/>
      <c r="M137" s="21"/>
      <c r="N137" s="21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</row>
    <row r="138" spans="1:103" ht="13">
      <c r="A138" s="2"/>
      <c r="B138" s="17"/>
      <c r="C138" s="32">
        <v>100</v>
      </c>
      <c r="D138" s="38" t="e">
        <f t="shared" ca="1" si="13"/>
        <v>#NAME?</v>
      </c>
      <c r="E138" s="31">
        <f t="shared" si="14"/>
        <v>5.9922549782777501E-2</v>
      </c>
      <c r="F138" s="17" t="e">
        <f t="shared" ca="1" si="15"/>
        <v>#NAME?</v>
      </c>
      <c r="G138" s="17"/>
      <c r="H138" s="21"/>
      <c r="I138" s="21"/>
      <c r="J138" s="21"/>
      <c r="K138" s="21"/>
      <c r="L138" s="21"/>
      <c r="M138" s="21"/>
      <c r="N138" s="21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</row>
    <row r="139" spans="1:103" ht="13">
      <c r="A139" s="2"/>
      <c r="B139" s="17"/>
      <c r="C139" s="32">
        <v>1000</v>
      </c>
      <c r="D139" s="38" t="e">
        <f t="shared" ca="1" si="13"/>
        <v>#NAME?</v>
      </c>
      <c r="E139" s="31">
        <f t="shared" si="14"/>
        <v>5.9922549782777503E-3</v>
      </c>
      <c r="F139" s="17" t="e">
        <f t="shared" ca="1" si="15"/>
        <v>#NAME?</v>
      </c>
      <c r="G139" s="17"/>
      <c r="H139" s="21"/>
      <c r="I139" s="21"/>
      <c r="J139" s="21"/>
      <c r="K139" s="21"/>
      <c r="L139" s="21"/>
      <c r="M139" s="21"/>
      <c r="N139" s="21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</row>
    <row r="140" spans="1:103" ht="13">
      <c r="A140" s="2"/>
      <c r="B140" s="17"/>
      <c r="C140" s="32">
        <v>10000</v>
      </c>
      <c r="D140" s="38" t="e">
        <f t="shared" ca="1" si="13"/>
        <v>#NAME?</v>
      </c>
      <c r="E140" s="31">
        <f t="shared" si="14"/>
        <v>5.9922549782777499E-4</v>
      </c>
      <c r="F140" s="17" t="e">
        <f t="shared" ca="1" si="15"/>
        <v>#NAME?</v>
      </c>
      <c r="G140" s="17"/>
      <c r="H140" s="21"/>
      <c r="I140" s="21"/>
      <c r="J140" s="21"/>
      <c r="K140" s="21"/>
      <c r="L140" s="21"/>
      <c r="M140" s="21"/>
      <c r="N140" s="21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</row>
    <row r="141" spans="1:103" ht="13">
      <c r="A141" s="2"/>
      <c r="B141" s="17"/>
      <c r="C141" s="32">
        <v>100000</v>
      </c>
      <c r="D141" s="38" t="e">
        <f t="shared" ca="1" si="13"/>
        <v>#NAME?</v>
      </c>
      <c r="E141" s="31">
        <f t="shared" si="14"/>
        <v>5.9922549782777504E-5</v>
      </c>
      <c r="F141" s="17" t="e">
        <f t="shared" ca="1" si="15"/>
        <v>#NAME?</v>
      </c>
      <c r="G141" s="17"/>
      <c r="H141" s="21"/>
      <c r="I141" s="21"/>
      <c r="J141" s="21"/>
      <c r="K141" s="21"/>
      <c r="L141" s="21"/>
      <c r="M141" s="21"/>
      <c r="N141" s="21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</row>
    <row r="142" spans="1:103" ht="13">
      <c r="A142" s="2"/>
      <c r="B142" s="17"/>
      <c r="C142" s="32">
        <v>1000000</v>
      </c>
      <c r="D142" s="38" t="e">
        <f t="shared" ca="1" si="13"/>
        <v>#NAME?</v>
      </c>
      <c r="E142" s="31">
        <f t="shared" si="14"/>
        <v>5.9922549782777507E-6</v>
      </c>
      <c r="F142" s="17" t="e">
        <f t="shared" ca="1" si="15"/>
        <v>#NAME?</v>
      </c>
      <c r="G142" s="17"/>
      <c r="H142" s="21"/>
      <c r="I142" s="21"/>
      <c r="J142" s="21"/>
      <c r="K142" s="21"/>
      <c r="L142" s="21"/>
      <c r="M142" s="21"/>
      <c r="N142" s="21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</row>
    <row r="143" spans="1:103" ht="13">
      <c r="A143" s="2"/>
      <c r="B143" s="17"/>
      <c r="C143" s="31"/>
      <c r="D143" s="17"/>
      <c r="E143" s="17"/>
      <c r="F143" s="17"/>
      <c r="G143" s="17"/>
      <c r="H143" s="21"/>
      <c r="I143" s="21"/>
      <c r="J143" s="21"/>
      <c r="K143" s="21"/>
      <c r="L143" s="21"/>
      <c r="M143" s="21"/>
      <c r="N143" s="21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</row>
    <row r="144" spans="1:103" ht="13">
      <c r="A144" s="2"/>
      <c r="B144" s="17"/>
      <c r="C144" s="31"/>
      <c r="D144" s="17"/>
      <c r="E144" s="17"/>
      <c r="F144" s="17"/>
      <c r="G144" s="17"/>
      <c r="H144" s="21"/>
      <c r="I144" s="21"/>
      <c r="J144" s="21"/>
      <c r="K144" s="21"/>
      <c r="L144" s="21"/>
      <c r="M144" s="21"/>
      <c r="N144" s="21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</row>
    <row r="145" spans="1:103" ht="30">
      <c r="A145" s="2"/>
      <c r="B145" s="22" t="s">
        <v>23</v>
      </c>
      <c r="C145" s="37"/>
      <c r="D145" s="17"/>
      <c r="E145" s="17"/>
      <c r="F145" s="17"/>
      <c r="G145" s="17"/>
      <c r="H145" s="21"/>
      <c r="I145" s="21"/>
      <c r="J145" s="21"/>
      <c r="K145" s="21"/>
      <c r="L145" s="21"/>
      <c r="M145" s="21"/>
      <c r="N145" s="21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</row>
    <row r="146" spans="1:103" ht="13">
      <c r="A146" s="2"/>
      <c r="B146" s="17"/>
      <c r="C146" s="31"/>
      <c r="D146" s="17"/>
      <c r="E146" s="17"/>
      <c r="F146" s="17"/>
      <c r="G146" s="17"/>
      <c r="H146" s="21"/>
      <c r="I146" s="21"/>
      <c r="J146" s="21"/>
      <c r="K146" s="21"/>
      <c r="L146" s="21"/>
      <c r="M146" s="21"/>
      <c r="N146" s="21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</row>
    <row r="147" spans="1:103" ht="13">
      <c r="A147" s="2"/>
      <c r="B147" s="25" t="s">
        <v>36</v>
      </c>
      <c r="C147" s="39"/>
      <c r="D147" s="17"/>
      <c r="E147" s="17"/>
      <c r="F147" s="17"/>
      <c r="G147" s="17"/>
      <c r="H147" s="17"/>
      <c r="I147" s="21"/>
      <c r="J147" s="21"/>
      <c r="K147" s="21"/>
      <c r="L147" s="21"/>
      <c r="M147" s="21"/>
      <c r="N147" s="21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</row>
    <row r="148" spans="1:103" ht="13">
      <c r="A148" s="2"/>
      <c r="B148" s="27" t="s">
        <v>25</v>
      </c>
      <c r="C148" s="32" t="s">
        <v>16</v>
      </c>
      <c r="D148" s="29">
        <v>1</v>
      </c>
      <c r="E148" s="29">
        <v>2</v>
      </c>
      <c r="F148" s="29">
        <v>3</v>
      </c>
      <c r="G148" s="29">
        <v>4</v>
      </c>
      <c r="H148" s="29">
        <v>5</v>
      </c>
      <c r="I148" s="30">
        <v>6</v>
      </c>
      <c r="J148" s="30">
        <v>7</v>
      </c>
      <c r="K148" s="30">
        <v>8</v>
      </c>
      <c r="L148" s="30">
        <v>9</v>
      </c>
      <c r="M148" s="30">
        <v>10</v>
      </c>
      <c r="N148" s="30">
        <v>11</v>
      </c>
      <c r="O148" s="29">
        <v>12</v>
      </c>
      <c r="P148" s="29">
        <v>13</v>
      </c>
      <c r="Q148" s="29">
        <v>14</v>
      </c>
      <c r="R148" s="29">
        <v>15</v>
      </c>
      <c r="S148" s="29">
        <v>16</v>
      </c>
      <c r="T148" s="29">
        <v>17</v>
      </c>
      <c r="U148" s="29">
        <v>18</v>
      </c>
      <c r="V148" s="29">
        <v>19</v>
      </c>
      <c r="W148" s="29">
        <v>20</v>
      </c>
      <c r="X148" s="29">
        <v>21</v>
      </c>
      <c r="Y148" s="29">
        <v>22</v>
      </c>
      <c r="Z148" s="29">
        <v>23</v>
      </c>
      <c r="AA148" s="29">
        <v>24</v>
      </c>
      <c r="AB148" s="29">
        <v>25</v>
      </c>
      <c r="AC148" s="29">
        <v>26</v>
      </c>
      <c r="AD148" s="29">
        <v>27</v>
      </c>
      <c r="AE148" s="29">
        <v>28</v>
      </c>
      <c r="AF148" s="29">
        <v>29</v>
      </c>
      <c r="AG148" s="29">
        <v>30</v>
      </c>
      <c r="AH148" s="29">
        <v>31</v>
      </c>
      <c r="AI148" s="29">
        <v>32</v>
      </c>
      <c r="AJ148" s="29">
        <v>33</v>
      </c>
      <c r="AK148" s="29">
        <v>34</v>
      </c>
      <c r="AL148" s="29">
        <v>35</v>
      </c>
      <c r="AM148" s="29">
        <v>36</v>
      </c>
      <c r="AN148" s="29">
        <v>37</v>
      </c>
      <c r="AO148" s="29">
        <v>38</v>
      </c>
      <c r="AP148" s="29">
        <v>39</v>
      </c>
      <c r="AQ148" s="29">
        <v>40</v>
      </c>
      <c r="AR148" s="29">
        <v>41</v>
      </c>
      <c r="AS148" s="29">
        <v>42</v>
      </c>
      <c r="AT148" s="29">
        <v>43</v>
      </c>
      <c r="AU148" s="29">
        <v>44</v>
      </c>
      <c r="AV148" s="29">
        <v>45</v>
      </c>
      <c r="AW148" s="29">
        <v>46</v>
      </c>
      <c r="AX148" s="29">
        <v>47</v>
      </c>
      <c r="AY148" s="29">
        <v>48</v>
      </c>
      <c r="AZ148" s="29">
        <v>49</v>
      </c>
      <c r="BA148" s="29">
        <v>50</v>
      </c>
      <c r="BB148" s="29">
        <v>51</v>
      </c>
      <c r="BC148" s="29">
        <v>52</v>
      </c>
      <c r="BD148" s="29">
        <v>53</v>
      </c>
      <c r="BE148" s="29">
        <v>54</v>
      </c>
      <c r="BF148" s="29">
        <v>55</v>
      </c>
      <c r="BG148" s="29">
        <v>56</v>
      </c>
      <c r="BH148" s="29">
        <v>57</v>
      </c>
      <c r="BI148" s="29">
        <v>58</v>
      </c>
      <c r="BJ148" s="29">
        <v>59</v>
      </c>
      <c r="BK148" s="29">
        <v>60</v>
      </c>
      <c r="BL148" s="29">
        <v>61</v>
      </c>
      <c r="BM148" s="29">
        <v>62</v>
      </c>
      <c r="BN148" s="29">
        <v>63</v>
      </c>
      <c r="BO148" s="29">
        <v>64</v>
      </c>
      <c r="BP148" s="29">
        <v>65</v>
      </c>
      <c r="BQ148" s="29">
        <v>66</v>
      </c>
      <c r="BR148" s="29">
        <v>67</v>
      </c>
      <c r="BS148" s="29">
        <v>68</v>
      </c>
      <c r="BT148" s="29">
        <v>69</v>
      </c>
      <c r="BU148" s="29">
        <v>70</v>
      </c>
      <c r="BV148" s="29">
        <v>71</v>
      </c>
      <c r="BW148" s="29">
        <v>72</v>
      </c>
      <c r="BX148" s="29">
        <v>73</v>
      </c>
      <c r="BY148" s="29">
        <v>74</v>
      </c>
      <c r="BZ148" s="29">
        <v>75</v>
      </c>
      <c r="CA148" s="29">
        <v>76</v>
      </c>
      <c r="CB148" s="29">
        <v>77</v>
      </c>
      <c r="CC148" s="29">
        <v>78</v>
      </c>
      <c r="CD148" s="29">
        <v>79</v>
      </c>
      <c r="CE148" s="29">
        <v>80</v>
      </c>
      <c r="CF148" s="29">
        <v>81</v>
      </c>
      <c r="CG148" s="29">
        <v>82</v>
      </c>
      <c r="CH148" s="29">
        <v>83</v>
      </c>
      <c r="CI148" s="29">
        <v>84</v>
      </c>
      <c r="CJ148" s="29">
        <v>85</v>
      </c>
      <c r="CK148" s="29">
        <v>86</v>
      </c>
      <c r="CL148" s="29">
        <v>87</v>
      </c>
      <c r="CM148" s="29">
        <v>88</v>
      </c>
      <c r="CN148" s="29">
        <v>89</v>
      </c>
      <c r="CO148" s="29">
        <v>90</v>
      </c>
      <c r="CP148" s="29">
        <v>91</v>
      </c>
      <c r="CQ148" s="29">
        <v>92</v>
      </c>
      <c r="CR148" s="29">
        <v>93</v>
      </c>
      <c r="CS148" s="29">
        <v>94</v>
      </c>
      <c r="CT148" s="29">
        <v>95</v>
      </c>
      <c r="CU148" s="29">
        <v>96</v>
      </c>
      <c r="CV148" s="29">
        <v>97</v>
      </c>
      <c r="CW148" s="29">
        <v>98</v>
      </c>
      <c r="CX148" s="29">
        <v>99</v>
      </c>
      <c r="CY148" s="29">
        <v>100</v>
      </c>
    </row>
    <row r="149" spans="1:103" ht="13">
      <c r="A149" s="2"/>
      <c r="B149" s="17"/>
      <c r="C149" s="31" t="s">
        <v>17</v>
      </c>
      <c r="D149" s="17"/>
      <c r="E149" s="17"/>
      <c r="F149" s="17"/>
      <c r="G149" s="17"/>
      <c r="H149" s="17"/>
      <c r="I149" s="21"/>
      <c r="J149" s="21"/>
      <c r="K149" s="21"/>
      <c r="L149" s="21"/>
      <c r="M149" s="21"/>
      <c r="N149" s="21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</row>
    <row r="150" spans="1:103" ht="13">
      <c r="A150" s="2"/>
      <c r="B150" s="17"/>
      <c r="C150" s="32">
        <v>10</v>
      </c>
      <c r="D150" s="9">
        <v>0.3</v>
      </c>
      <c r="E150" s="9">
        <v>0.4</v>
      </c>
      <c r="F150" s="9">
        <v>0.1</v>
      </c>
      <c r="G150" s="9">
        <v>0.3</v>
      </c>
      <c r="H150" s="9">
        <v>0.2</v>
      </c>
      <c r="I150" s="9">
        <v>0.3</v>
      </c>
      <c r="J150" s="9">
        <v>0</v>
      </c>
      <c r="K150" s="9">
        <v>0.3</v>
      </c>
      <c r="L150" s="9">
        <v>0.1</v>
      </c>
      <c r="M150" s="9">
        <v>0.1</v>
      </c>
      <c r="N150" s="9">
        <v>0.4</v>
      </c>
      <c r="O150" s="9">
        <v>0.3</v>
      </c>
      <c r="P150" s="9">
        <v>0.4</v>
      </c>
      <c r="Q150" s="9">
        <v>0.2</v>
      </c>
      <c r="R150" s="9">
        <v>0.3</v>
      </c>
      <c r="S150" s="9">
        <v>0.3</v>
      </c>
      <c r="T150" s="9">
        <v>0.2</v>
      </c>
      <c r="U150" s="9">
        <v>0.2</v>
      </c>
      <c r="V150" s="9">
        <v>0</v>
      </c>
      <c r="W150" s="9">
        <v>0.5</v>
      </c>
      <c r="X150" s="9">
        <v>0.1</v>
      </c>
      <c r="Y150" s="9">
        <v>0.3</v>
      </c>
      <c r="Z150" s="9">
        <v>0.2</v>
      </c>
      <c r="AA150" s="9">
        <v>0.2</v>
      </c>
      <c r="AB150" s="9">
        <v>0.1</v>
      </c>
      <c r="AC150" s="9">
        <v>0.2</v>
      </c>
      <c r="AD150" s="9">
        <v>0.3</v>
      </c>
      <c r="AE150" s="9">
        <v>0.3</v>
      </c>
      <c r="AF150" s="9">
        <v>0.3</v>
      </c>
      <c r="AG150" s="9">
        <v>0</v>
      </c>
      <c r="AH150" s="9">
        <v>0.2</v>
      </c>
      <c r="AI150" s="9">
        <v>0.3</v>
      </c>
      <c r="AJ150" s="9">
        <v>0.1</v>
      </c>
      <c r="AK150" s="9">
        <v>0.6</v>
      </c>
      <c r="AL150" s="9">
        <v>0.3</v>
      </c>
      <c r="AM150" s="9">
        <v>0.2</v>
      </c>
      <c r="AN150" s="9">
        <v>0.4</v>
      </c>
      <c r="AO150" s="9">
        <v>0.4</v>
      </c>
      <c r="AP150" s="9">
        <v>0.2</v>
      </c>
      <c r="AQ150" s="9">
        <v>0.2</v>
      </c>
      <c r="AR150" s="9">
        <v>0.1</v>
      </c>
      <c r="AS150" s="9">
        <v>0.3</v>
      </c>
      <c r="AT150" s="9">
        <v>0.3</v>
      </c>
      <c r="AU150" s="9">
        <v>0.1</v>
      </c>
      <c r="AV150" s="9">
        <v>0.2</v>
      </c>
      <c r="AW150" s="9">
        <v>0.3</v>
      </c>
      <c r="AX150" s="9">
        <v>0</v>
      </c>
      <c r="AY150" s="9">
        <v>0.3</v>
      </c>
      <c r="AZ150" s="9">
        <v>0.3</v>
      </c>
      <c r="BA150" s="9">
        <v>0.2</v>
      </c>
      <c r="BB150" s="9">
        <v>0.3</v>
      </c>
      <c r="BC150" s="9">
        <v>0.2</v>
      </c>
      <c r="BD150" s="9">
        <v>0.1</v>
      </c>
      <c r="BE150" s="9">
        <v>0.1</v>
      </c>
      <c r="BF150" s="9">
        <v>0.3</v>
      </c>
      <c r="BG150" s="9">
        <v>0.3</v>
      </c>
      <c r="BH150" s="9">
        <v>0.2</v>
      </c>
      <c r="BI150" s="9">
        <v>0.1</v>
      </c>
      <c r="BJ150" s="9">
        <v>0.2</v>
      </c>
      <c r="BK150" s="9">
        <v>0.2</v>
      </c>
      <c r="BL150" s="9">
        <v>0.4</v>
      </c>
      <c r="BM150" s="9">
        <v>0.2</v>
      </c>
      <c r="BN150" s="9">
        <v>0.3</v>
      </c>
      <c r="BO150" s="9">
        <v>0.5</v>
      </c>
      <c r="BP150" s="9">
        <v>0.4</v>
      </c>
      <c r="BQ150" s="9">
        <v>0.1</v>
      </c>
      <c r="BR150" s="9">
        <v>0.2</v>
      </c>
      <c r="BS150" s="9">
        <v>0.1</v>
      </c>
      <c r="BT150" s="9">
        <v>0.2</v>
      </c>
      <c r="BU150" s="9">
        <v>0.3</v>
      </c>
      <c r="BV150" s="9">
        <v>0.1</v>
      </c>
      <c r="BW150" s="9">
        <v>0.2</v>
      </c>
      <c r="BX150" s="9">
        <v>0.1</v>
      </c>
      <c r="BY150" s="9">
        <v>0.1</v>
      </c>
      <c r="BZ150" s="9">
        <v>0.2</v>
      </c>
      <c r="CA150" s="9">
        <v>0.1</v>
      </c>
      <c r="CB150" s="9">
        <v>0.3</v>
      </c>
      <c r="CC150" s="9">
        <v>0.2</v>
      </c>
      <c r="CD150" s="9">
        <v>0.3</v>
      </c>
      <c r="CE150" s="9">
        <v>0.3</v>
      </c>
      <c r="CF150" s="9">
        <v>0.2</v>
      </c>
      <c r="CG150" s="9">
        <v>0.3</v>
      </c>
      <c r="CH150" s="9">
        <v>0.2</v>
      </c>
      <c r="CI150" s="9">
        <v>0.4</v>
      </c>
      <c r="CJ150" s="9">
        <v>0.2</v>
      </c>
      <c r="CK150" s="9">
        <v>0.4</v>
      </c>
      <c r="CL150" s="9">
        <v>0.2</v>
      </c>
      <c r="CM150" s="9">
        <v>0.3</v>
      </c>
      <c r="CN150" s="9">
        <v>0.2</v>
      </c>
      <c r="CO150" s="9">
        <v>0.1</v>
      </c>
      <c r="CP150" s="9">
        <v>0.4</v>
      </c>
      <c r="CQ150" s="9">
        <v>0.1</v>
      </c>
      <c r="CR150" s="9">
        <v>0.1</v>
      </c>
      <c r="CS150" s="9">
        <v>0.5</v>
      </c>
      <c r="CT150" s="9">
        <v>0.3</v>
      </c>
      <c r="CU150" s="9">
        <v>0.2</v>
      </c>
      <c r="CV150" s="9">
        <v>0.4</v>
      </c>
      <c r="CW150" s="9">
        <v>0.1</v>
      </c>
      <c r="CX150" s="9">
        <v>0.2</v>
      </c>
      <c r="CY150" s="9">
        <v>0.2</v>
      </c>
    </row>
    <row r="151" spans="1:103" ht="13">
      <c r="A151" s="2"/>
      <c r="B151" s="17"/>
      <c r="C151" s="32">
        <v>100</v>
      </c>
      <c r="D151" s="9">
        <v>0.22</v>
      </c>
      <c r="E151" s="9">
        <v>0.24</v>
      </c>
      <c r="F151" s="9">
        <v>0.31</v>
      </c>
      <c r="G151" s="9">
        <v>0.24</v>
      </c>
      <c r="H151" s="9">
        <v>0.26</v>
      </c>
      <c r="I151" s="9">
        <v>0.24</v>
      </c>
      <c r="J151" s="9">
        <v>0.28999999999999998</v>
      </c>
      <c r="K151" s="9">
        <v>0.28999999999999998</v>
      </c>
      <c r="L151" s="9">
        <v>0.27</v>
      </c>
      <c r="M151" s="9">
        <v>0.26</v>
      </c>
      <c r="N151" s="9">
        <v>0.25</v>
      </c>
      <c r="O151" s="9">
        <v>0.25</v>
      </c>
      <c r="P151" s="9">
        <v>0.21</v>
      </c>
      <c r="Q151" s="9">
        <v>0.2</v>
      </c>
      <c r="R151" s="9">
        <v>0.33</v>
      </c>
      <c r="S151" s="9">
        <v>0.27</v>
      </c>
      <c r="T151" s="9">
        <v>0.28000000000000003</v>
      </c>
      <c r="U151" s="9">
        <v>0.3</v>
      </c>
      <c r="V151" s="9">
        <v>0.22</v>
      </c>
      <c r="W151" s="9">
        <v>0.28999999999999998</v>
      </c>
      <c r="X151" s="9">
        <v>0.24</v>
      </c>
      <c r="Y151" s="9">
        <v>0.23</v>
      </c>
      <c r="Z151" s="9">
        <v>0.27</v>
      </c>
      <c r="AA151" s="9">
        <v>0.3</v>
      </c>
      <c r="AB151" s="9">
        <v>0.31</v>
      </c>
      <c r="AC151" s="9">
        <v>0.25</v>
      </c>
      <c r="AD151" s="9">
        <v>0.25</v>
      </c>
      <c r="AE151" s="9">
        <v>0.28000000000000003</v>
      </c>
      <c r="AF151" s="9">
        <v>0.3</v>
      </c>
      <c r="AG151" s="9">
        <v>0.23</v>
      </c>
      <c r="AH151" s="9">
        <v>0.26</v>
      </c>
      <c r="AI151" s="9">
        <v>0.28000000000000003</v>
      </c>
      <c r="AJ151" s="9">
        <v>0.26</v>
      </c>
      <c r="AK151" s="9">
        <v>0.25</v>
      </c>
      <c r="AL151" s="9">
        <v>0.27</v>
      </c>
      <c r="AM151" s="9">
        <v>0.28000000000000003</v>
      </c>
      <c r="AN151" s="9">
        <v>0.22</v>
      </c>
      <c r="AO151" s="9">
        <v>0.24</v>
      </c>
      <c r="AP151" s="9">
        <v>0.23</v>
      </c>
      <c r="AQ151" s="9">
        <v>0.28000000000000003</v>
      </c>
      <c r="AR151" s="9">
        <v>0.34</v>
      </c>
      <c r="AS151" s="9">
        <v>0.3</v>
      </c>
      <c r="AT151" s="9">
        <v>0.16</v>
      </c>
      <c r="AU151" s="9">
        <v>0.21</v>
      </c>
      <c r="AV151" s="9">
        <v>0.31</v>
      </c>
      <c r="AW151" s="9">
        <v>0.21</v>
      </c>
      <c r="AX151" s="9">
        <v>0.27</v>
      </c>
      <c r="AY151" s="9">
        <v>0.28999999999999998</v>
      </c>
      <c r="AZ151" s="9">
        <v>0.2</v>
      </c>
      <c r="BA151" s="9">
        <v>0.22</v>
      </c>
      <c r="BB151" s="9">
        <v>0.27</v>
      </c>
      <c r="BC151" s="9">
        <v>0.32</v>
      </c>
      <c r="BD151" s="9">
        <v>0.33</v>
      </c>
      <c r="BE151" s="9">
        <v>0.28999999999999998</v>
      </c>
      <c r="BF151" s="9">
        <v>0.23</v>
      </c>
      <c r="BG151" s="9">
        <v>0.37</v>
      </c>
      <c r="BH151" s="9">
        <v>0.2</v>
      </c>
      <c r="BI151" s="9">
        <v>0.28000000000000003</v>
      </c>
      <c r="BJ151" s="9">
        <v>0.26</v>
      </c>
      <c r="BK151" s="9">
        <v>0.25</v>
      </c>
      <c r="BL151" s="9">
        <v>0.24</v>
      </c>
      <c r="BM151" s="9">
        <v>0.27</v>
      </c>
      <c r="BN151" s="9">
        <v>0.25</v>
      </c>
      <c r="BO151" s="9">
        <v>0.26</v>
      </c>
      <c r="BP151" s="9">
        <v>0.24</v>
      </c>
      <c r="BQ151" s="9">
        <v>0.32</v>
      </c>
      <c r="BR151" s="9">
        <v>0.22</v>
      </c>
      <c r="BS151" s="9">
        <v>0.26</v>
      </c>
      <c r="BT151" s="9">
        <v>0.33</v>
      </c>
      <c r="BU151" s="9">
        <v>0.35</v>
      </c>
      <c r="BV151" s="9">
        <v>0.28999999999999998</v>
      </c>
      <c r="BW151" s="9">
        <v>0.16</v>
      </c>
      <c r="BX151" s="9">
        <v>0.22</v>
      </c>
      <c r="BY151" s="9">
        <v>0.18</v>
      </c>
      <c r="BZ151" s="9">
        <v>0.26</v>
      </c>
      <c r="CA151" s="9">
        <v>0.24</v>
      </c>
      <c r="CB151" s="9">
        <v>0.27</v>
      </c>
      <c r="CC151" s="9">
        <v>0.25</v>
      </c>
      <c r="CD151" s="9">
        <v>0.26</v>
      </c>
      <c r="CE151" s="9">
        <v>0.26</v>
      </c>
      <c r="CF151" s="9">
        <v>0.25</v>
      </c>
      <c r="CG151" s="9">
        <v>0.23</v>
      </c>
      <c r="CH151" s="9">
        <v>0.19</v>
      </c>
      <c r="CI151" s="9">
        <v>0.28000000000000003</v>
      </c>
      <c r="CJ151" s="9">
        <v>0.28999999999999998</v>
      </c>
      <c r="CK151" s="9">
        <v>0.27</v>
      </c>
      <c r="CL151" s="9">
        <v>0.27</v>
      </c>
      <c r="CM151" s="9">
        <v>0.39</v>
      </c>
      <c r="CN151" s="9">
        <v>0.23</v>
      </c>
      <c r="CO151" s="9">
        <v>0.3</v>
      </c>
      <c r="CP151" s="9">
        <v>0.21</v>
      </c>
      <c r="CQ151" s="9">
        <v>0.28999999999999998</v>
      </c>
      <c r="CR151" s="9">
        <v>0.27</v>
      </c>
      <c r="CS151" s="9">
        <v>0.25</v>
      </c>
      <c r="CT151" s="9">
        <v>0.31</v>
      </c>
      <c r="CU151" s="9">
        <v>0.21</v>
      </c>
      <c r="CV151" s="9">
        <v>0.28000000000000003</v>
      </c>
      <c r="CW151" s="9">
        <v>0.24</v>
      </c>
      <c r="CX151" s="9">
        <v>0.33</v>
      </c>
      <c r="CY151" s="9">
        <v>0.24</v>
      </c>
    </row>
    <row r="152" spans="1:103" ht="13">
      <c r="A152" s="2"/>
      <c r="B152" s="17"/>
      <c r="C152" s="32">
        <v>1000</v>
      </c>
      <c r="D152" s="9">
        <v>0.26200000000000001</v>
      </c>
      <c r="E152" s="9">
        <v>0.26700000000000002</v>
      </c>
      <c r="F152" s="9">
        <v>0.245</v>
      </c>
      <c r="G152" s="9">
        <v>0.28100000000000003</v>
      </c>
      <c r="H152" s="9">
        <v>0.249</v>
      </c>
      <c r="I152" s="9">
        <v>0.26800000000000002</v>
      </c>
      <c r="J152" s="9">
        <v>0.248</v>
      </c>
      <c r="K152" s="9">
        <v>0.25900000000000001</v>
      </c>
      <c r="L152" s="9">
        <v>0.26100000000000001</v>
      </c>
      <c r="M152" s="9">
        <v>0.27500000000000002</v>
      </c>
      <c r="N152" s="9">
        <v>0.26900000000000002</v>
      </c>
      <c r="O152" s="9">
        <v>0.25900000000000001</v>
      </c>
      <c r="P152" s="9">
        <v>0.27</v>
      </c>
      <c r="Q152" s="9">
        <v>0.26800000000000002</v>
      </c>
      <c r="R152" s="9">
        <v>0.252</v>
      </c>
      <c r="S152" s="9">
        <v>0.26500000000000001</v>
      </c>
      <c r="T152" s="9">
        <v>0.255</v>
      </c>
      <c r="U152" s="9">
        <v>0.26200000000000001</v>
      </c>
      <c r="V152" s="9">
        <v>0.251</v>
      </c>
      <c r="W152" s="9">
        <v>0.26200000000000001</v>
      </c>
      <c r="X152" s="9">
        <v>0.28000000000000003</v>
      </c>
      <c r="Y152" s="9">
        <v>0.26500000000000001</v>
      </c>
      <c r="Z152" s="9">
        <v>0.27</v>
      </c>
      <c r="AA152" s="9">
        <v>0.252</v>
      </c>
      <c r="AB152" s="9">
        <v>0.26100000000000001</v>
      </c>
      <c r="AC152" s="9">
        <v>0.25</v>
      </c>
      <c r="AD152" s="9">
        <v>0.27600000000000002</v>
      </c>
      <c r="AE152" s="9">
        <v>0.26800000000000002</v>
      </c>
      <c r="AF152" s="9">
        <v>0.25</v>
      </c>
      <c r="AG152" s="9">
        <v>0.24399999999999999</v>
      </c>
      <c r="AH152" s="9">
        <v>0.254</v>
      </c>
      <c r="AI152" s="9">
        <v>0.26100000000000001</v>
      </c>
      <c r="AJ152" s="9">
        <v>0.26100000000000001</v>
      </c>
      <c r="AK152" s="9">
        <v>0.26400000000000001</v>
      </c>
      <c r="AL152" s="9">
        <v>0.27800000000000002</v>
      </c>
      <c r="AM152" s="9">
        <v>0.27800000000000002</v>
      </c>
      <c r="AN152" s="9">
        <v>0.27900000000000003</v>
      </c>
      <c r="AO152" s="9">
        <v>0.27400000000000002</v>
      </c>
      <c r="AP152" s="9">
        <v>0.26600000000000001</v>
      </c>
      <c r="AQ152" s="9">
        <v>0.27700000000000002</v>
      </c>
      <c r="AR152" s="9">
        <v>0.27</v>
      </c>
      <c r="AS152" s="9">
        <v>0.26100000000000001</v>
      </c>
      <c r="AT152" s="9">
        <v>0.252</v>
      </c>
      <c r="AU152" s="9">
        <v>0.251</v>
      </c>
      <c r="AV152" s="9">
        <v>0.24199999999999999</v>
      </c>
      <c r="AW152" s="9">
        <v>0.249</v>
      </c>
      <c r="AX152" s="9">
        <v>0.28199999999999997</v>
      </c>
      <c r="AY152" s="9">
        <v>0.249</v>
      </c>
      <c r="AZ152" s="9">
        <v>0.26100000000000001</v>
      </c>
      <c r="BA152" s="9">
        <v>0.25900000000000001</v>
      </c>
      <c r="BB152" s="9">
        <v>0.27100000000000002</v>
      </c>
      <c r="BC152" s="9">
        <v>0.28299999999999997</v>
      </c>
      <c r="BD152" s="9">
        <v>0.26500000000000001</v>
      </c>
      <c r="BE152" s="9">
        <v>0.251</v>
      </c>
      <c r="BF152" s="9">
        <v>0.245</v>
      </c>
      <c r="BG152" s="9">
        <v>0.248</v>
      </c>
      <c r="BH152" s="9">
        <v>0.25800000000000001</v>
      </c>
      <c r="BI152" s="9">
        <v>0.25</v>
      </c>
      <c r="BJ152" s="9">
        <v>0.26900000000000002</v>
      </c>
      <c r="BK152" s="9">
        <v>0.28699999999999998</v>
      </c>
      <c r="BL152" s="9">
        <v>0.24099999999999999</v>
      </c>
      <c r="BM152" s="9">
        <v>0.28599999999999998</v>
      </c>
      <c r="BN152" s="9">
        <v>0.27100000000000002</v>
      </c>
      <c r="BO152" s="9">
        <v>0.26</v>
      </c>
      <c r="BP152" s="9">
        <v>0.26300000000000001</v>
      </c>
      <c r="BQ152" s="9">
        <v>0.27500000000000002</v>
      </c>
      <c r="BR152" s="9">
        <v>0.28100000000000003</v>
      </c>
      <c r="BS152" s="9">
        <v>0.26400000000000001</v>
      </c>
      <c r="BT152" s="9">
        <v>0.26300000000000001</v>
      </c>
      <c r="BU152" s="9">
        <v>0.24299999999999999</v>
      </c>
      <c r="BV152" s="9">
        <v>0.23899999999999999</v>
      </c>
      <c r="BW152" s="9">
        <v>0.26200000000000001</v>
      </c>
      <c r="BX152" s="9">
        <v>0.28000000000000003</v>
      </c>
      <c r="BY152" s="9">
        <v>0.249</v>
      </c>
      <c r="BZ152" s="9">
        <v>0.26500000000000001</v>
      </c>
      <c r="CA152" s="9">
        <v>0.28000000000000003</v>
      </c>
      <c r="CB152" s="9">
        <v>0.25600000000000001</v>
      </c>
      <c r="CC152" s="9">
        <v>0.26700000000000002</v>
      </c>
      <c r="CD152" s="9">
        <v>0.26400000000000001</v>
      </c>
      <c r="CE152" s="9">
        <v>0.25800000000000001</v>
      </c>
      <c r="CF152" s="9">
        <v>0.26700000000000002</v>
      </c>
      <c r="CG152" s="9">
        <v>0.23499999999999999</v>
      </c>
      <c r="CH152" s="9">
        <v>0.26</v>
      </c>
      <c r="CI152" s="9">
        <v>0.27800000000000002</v>
      </c>
      <c r="CJ152" s="9">
        <v>0.28199999999999997</v>
      </c>
      <c r="CK152" s="9">
        <v>0.25</v>
      </c>
      <c r="CL152" s="9">
        <v>0.27600000000000002</v>
      </c>
      <c r="CM152" s="9">
        <v>0.26700000000000002</v>
      </c>
      <c r="CN152" s="9">
        <v>0.246</v>
      </c>
      <c r="CO152" s="9">
        <v>0.26300000000000001</v>
      </c>
      <c r="CP152" s="9">
        <v>0.27500000000000002</v>
      </c>
      <c r="CQ152" s="9">
        <v>0.26900000000000002</v>
      </c>
      <c r="CR152" s="9">
        <v>0.248</v>
      </c>
      <c r="CS152" s="9">
        <v>0.25800000000000001</v>
      </c>
      <c r="CT152" s="9">
        <v>0.26400000000000001</v>
      </c>
      <c r="CU152" s="9">
        <v>0.26900000000000002</v>
      </c>
      <c r="CV152" s="9">
        <v>0.27800000000000002</v>
      </c>
      <c r="CW152" s="9">
        <v>0.26400000000000001</v>
      </c>
      <c r="CX152" s="9">
        <v>0.28399999999999997</v>
      </c>
      <c r="CY152" s="9">
        <v>0.28299999999999997</v>
      </c>
    </row>
    <row r="153" spans="1:103" ht="13">
      <c r="A153" s="2"/>
      <c r="B153" s="17"/>
      <c r="C153" s="32">
        <v>10000</v>
      </c>
      <c r="D153" s="9">
        <v>0.26029999999999998</v>
      </c>
      <c r="E153" s="9">
        <v>0.26840000000000003</v>
      </c>
      <c r="F153" s="9">
        <v>0.26400000000000001</v>
      </c>
      <c r="G153" s="9">
        <v>0.25409999999999999</v>
      </c>
      <c r="H153" s="9">
        <v>0.25900000000000001</v>
      </c>
      <c r="I153" s="9">
        <v>0.26090000000000002</v>
      </c>
      <c r="J153" s="9">
        <v>0.26490000000000002</v>
      </c>
      <c r="K153" s="9">
        <v>0.26769999999999999</v>
      </c>
      <c r="L153" s="9">
        <v>0.26869999999999999</v>
      </c>
      <c r="M153" s="9">
        <v>0.26700000000000002</v>
      </c>
      <c r="N153" s="9">
        <v>0.26219999999999999</v>
      </c>
      <c r="O153" s="9">
        <v>0.27129999999999999</v>
      </c>
      <c r="P153" s="9">
        <v>0.26219999999999999</v>
      </c>
      <c r="Q153" s="9">
        <v>0.2641</v>
      </c>
      <c r="R153" s="9">
        <v>0.25940000000000002</v>
      </c>
      <c r="S153" s="9">
        <v>0.25409999999999999</v>
      </c>
      <c r="T153" s="9">
        <v>0.26040000000000002</v>
      </c>
      <c r="U153" s="9">
        <v>0.25750000000000001</v>
      </c>
      <c r="V153" s="9">
        <v>0.26440000000000002</v>
      </c>
      <c r="W153" s="9">
        <v>0.27029999999999998</v>
      </c>
      <c r="X153" s="9">
        <v>0.2601</v>
      </c>
      <c r="Y153" s="9">
        <v>0.25090000000000001</v>
      </c>
      <c r="Z153" s="9">
        <v>0.26779999999999998</v>
      </c>
      <c r="AA153" s="9">
        <v>0.25940000000000002</v>
      </c>
      <c r="AB153" s="9">
        <v>0.26119999999999999</v>
      </c>
      <c r="AC153" s="9">
        <v>0.25819999999999999</v>
      </c>
      <c r="AD153" s="9">
        <v>0.26619999999999999</v>
      </c>
      <c r="AE153" s="9">
        <v>0.25700000000000001</v>
      </c>
      <c r="AF153" s="9">
        <v>0.25929999999999997</v>
      </c>
      <c r="AG153" s="9">
        <v>0.26119999999999999</v>
      </c>
      <c r="AH153" s="9">
        <v>0.2671</v>
      </c>
      <c r="AI153" s="9">
        <v>0.26329999999999998</v>
      </c>
      <c r="AJ153" s="9">
        <v>0.26240000000000002</v>
      </c>
      <c r="AK153" s="9">
        <v>0.26269999999999999</v>
      </c>
      <c r="AL153" s="9">
        <v>0.26379999999999998</v>
      </c>
      <c r="AM153" s="9">
        <v>0.26529999999999998</v>
      </c>
      <c r="AN153" s="9">
        <v>0.2616</v>
      </c>
      <c r="AO153" s="9">
        <v>0.26479999999999998</v>
      </c>
      <c r="AP153" s="9">
        <v>0.25659999999999999</v>
      </c>
      <c r="AQ153" s="9">
        <v>0.25569999999999998</v>
      </c>
      <c r="AR153" s="9">
        <v>0.26989999999999997</v>
      </c>
      <c r="AS153" s="9">
        <v>0.26219999999999999</v>
      </c>
      <c r="AT153" s="9">
        <v>0.26190000000000002</v>
      </c>
      <c r="AU153" s="9">
        <v>0.2591</v>
      </c>
      <c r="AV153" s="9">
        <v>0.25869999999999999</v>
      </c>
      <c r="AW153" s="9">
        <v>0.26069999999999999</v>
      </c>
      <c r="AX153" s="9">
        <v>0.26450000000000001</v>
      </c>
      <c r="AY153" s="9">
        <v>0.26179999999999998</v>
      </c>
      <c r="AZ153" s="9">
        <v>0.2591</v>
      </c>
      <c r="BA153" s="9">
        <v>0.26750000000000002</v>
      </c>
      <c r="BB153" s="9">
        <v>0.25719999999999998</v>
      </c>
      <c r="BC153" s="9">
        <v>0.26090000000000002</v>
      </c>
      <c r="BD153" s="9">
        <v>0.26200000000000001</v>
      </c>
      <c r="BE153" s="9">
        <v>0.26229999999999998</v>
      </c>
      <c r="BF153" s="9">
        <v>0.26100000000000001</v>
      </c>
      <c r="BG153" s="9">
        <v>0.26669999999999999</v>
      </c>
      <c r="BH153" s="9">
        <v>0.2616</v>
      </c>
      <c r="BI153" s="9">
        <v>0.26069999999999999</v>
      </c>
      <c r="BJ153" s="9">
        <v>0.25879999999999997</v>
      </c>
      <c r="BK153" s="9">
        <v>0.26910000000000001</v>
      </c>
      <c r="BL153" s="9">
        <v>0.25690000000000002</v>
      </c>
      <c r="BM153" s="9">
        <v>0.25990000000000002</v>
      </c>
      <c r="BN153" s="9">
        <v>0.2606</v>
      </c>
      <c r="BO153" s="9">
        <v>0.26100000000000001</v>
      </c>
      <c r="BP153" s="9">
        <v>0.26300000000000001</v>
      </c>
      <c r="BQ153" s="9">
        <v>0.25640000000000002</v>
      </c>
      <c r="BR153" s="9">
        <v>0.26440000000000002</v>
      </c>
      <c r="BS153" s="9">
        <v>0.25800000000000001</v>
      </c>
      <c r="BT153" s="9">
        <v>0.2616</v>
      </c>
      <c r="BU153" s="9">
        <v>0.25580000000000003</v>
      </c>
      <c r="BV153" s="9">
        <v>0.2651</v>
      </c>
      <c r="BW153" s="9">
        <v>0.25750000000000001</v>
      </c>
      <c r="BX153" s="9">
        <v>0.27179999999999999</v>
      </c>
      <c r="BY153" s="9">
        <v>0.25590000000000002</v>
      </c>
      <c r="BZ153" s="9">
        <v>0.25919999999999999</v>
      </c>
      <c r="CA153" s="9">
        <v>0.25840000000000002</v>
      </c>
      <c r="CB153" s="9">
        <v>0.26729999999999998</v>
      </c>
      <c r="CC153" s="9">
        <v>0.25669999999999998</v>
      </c>
      <c r="CD153" s="9">
        <v>0.25790000000000002</v>
      </c>
      <c r="CE153" s="9">
        <v>0.26779999999999998</v>
      </c>
      <c r="CF153" s="9">
        <v>0.26590000000000003</v>
      </c>
      <c r="CG153" s="9">
        <v>0.26590000000000003</v>
      </c>
      <c r="CH153" s="9">
        <v>0.26800000000000002</v>
      </c>
      <c r="CI153" s="9">
        <v>0.2656</v>
      </c>
      <c r="CJ153" s="9">
        <v>0.26919999999999999</v>
      </c>
      <c r="CK153" s="9">
        <v>0.25669999999999998</v>
      </c>
      <c r="CL153" s="9">
        <v>0.25919999999999999</v>
      </c>
      <c r="CM153" s="9">
        <v>0.26300000000000001</v>
      </c>
      <c r="CN153" s="9">
        <v>0.26519999999999999</v>
      </c>
      <c r="CO153" s="9">
        <v>0.25869999999999999</v>
      </c>
      <c r="CP153" s="9">
        <v>0.26229999999999998</v>
      </c>
      <c r="CQ153" s="9">
        <v>0.25740000000000002</v>
      </c>
      <c r="CR153" s="9">
        <v>0.2576</v>
      </c>
      <c r="CS153" s="9">
        <v>0.26350000000000001</v>
      </c>
      <c r="CT153" s="9">
        <v>0.26650000000000001</v>
      </c>
      <c r="CU153" s="9">
        <v>0.26690000000000003</v>
      </c>
      <c r="CV153" s="9">
        <v>0.25729999999999997</v>
      </c>
      <c r="CW153" s="9">
        <v>0.26529999999999998</v>
      </c>
      <c r="CX153" s="9">
        <v>0.25790000000000002</v>
      </c>
      <c r="CY153" s="9">
        <v>0.26150000000000001</v>
      </c>
    </row>
    <row r="154" spans="1:103" ht="13">
      <c r="A154" s="2"/>
      <c r="B154" s="17"/>
      <c r="C154" s="32">
        <v>100000</v>
      </c>
      <c r="D154" s="9">
        <v>0.26157999999999998</v>
      </c>
      <c r="E154" s="9">
        <v>0.26235999999999998</v>
      </c>
      <c r="F154" s="9">
        <v>0.26362999999999998</v>
      </c>
      <c r="G154" s="9">
        <v>0.26202999999999999</v>
      </c>
      <c r="H154" s="9">
        <v>0.26161000000000001</v>
      </c>
      <c r="I154" s="9">
        <v>0.26541999999999999</v>
      </c>
      <c r="J154" s="9">
        <v>0.26202999999999999</v>
      </c>
      <c r="K154" s="9">
        <v>0.26340000000000002</v>
      </c>
      <c r="L154" s="9">
        <v>0.26321</v>
      </c>
      <c r="M154" s="9">
        <v>0.26205000000000001</v>
      </c>
      <c r="N154" s="9">
        <v>0.26071</v>
      </c>
      <c r="O154" s="9">
        <v>0.26141999999999999</v>
      </c>
      <c r="P154" s="9">
        <v>0.26355000000000001</v>
      </c>
      <c r="Q154" s="9">
        <v>0.26150000000000001</v>
      </c>
      <c r="R154" s="9">
        <v>0.26436999999999999</v>
      </c>
      <c r="S154" s="9">
        <v>0.26282</v>
      </c>
      <c r="T154" s="9">
        <v>0.26368000000000003</v>
      </c>
      <c r="U154" s="9">
        <v>0.26551999999999998</v>
      </c>
      <c r="V154" s="9">
        <v>0.26406000000000002</v>
      </c>
      <c r="W154" s="9">
        <v>0.26352999999999999</v>
      </c>
      <c r="X154" s="9">
        <v>0.26012000000000002</v>
      </c>
      <c r="Y154" s="9">
        <v>0.26129999999999998</v>
      </c>
      <c r="Z154" s="9">
        <v>0.26308999999999999</v>
      </c>
      <c r="AA154" s="9">
        <v>0.26325999999999999</v>
      </c>
      <c r="AB154" s="9">
        <v>0.26432</v>
      </c>
      <c r="AC154" s="9">
        <v>0.26163999999999998</v>
      </c>
      <c r="AD154" s="9">
        <v>0.26149</v>
      </c>
      <c r="AE154" s="9">
        <v>0.26139000000000001</v>
      </c>
      <c r="AF154" s="9">
        <v>0.26162000000000002</v>
      </c>
      <c r="AG154" s="9">
        <v>0.26271</v>
      </c>
      <c r="AH154" s="9">
        <v>0.25958999999999999</v>
      </c>
      <c r="AI154" s="9">
        <v>0.26325999999999999</v>
      </c>
      <c r="AJ154" s="9">
        <v>0.26386999999999999</v>
      </c>
      <c r="AK154" s="9">
        <v>0.26252999999999999</v>
      </c>
      <c r="AL154" s="9">
        <v>0.26219999999999999</v>
      </c>
      <c r="AM154" s="9">
        <v>0.26377</v>
      </c>
      <c r="AN154" s="9">
        <v>0.26024000000000003</v>
      </c>
      <c r="AO154" s="9">
        <v>0.25957000000000002</v>
      </c>
      <c r="AP154" s="9">
        <v>0.26139000000000001</v>
      </c>
      <c r="AQ154" s="9">
        <v>0.26334000000000002</v>
      </c>
      <c r="AR154" s="9">
        <v>0.26162000000000002</v>
      </c>
      <c r="AS154" s="9">
        <v>0.26222000000000001</v>
      </c>
      <c r="AT154" s="9">
        <v>0.26372000000000001</v>
      </c>
      <c r="AU154" s="9">
        <v>0.26123000000000002</v>
      </c>
      <c r="AV154" s="9">
        <v>0.26130999999999999</v>
      </c>
      <c r="AW154" s="9">
        <v>0.26208999999999999</v>
      </c>
      <c r="AX154" s="9">
        <v>0.26066</v>
      </c>
      <c r="AY154" s="9">
        <v>0.26361000000000001</v>
      </c>
      <c r="AZ154" s="9">
        <v>0.26179000000000002</v>
      </c>
      <c r="BA154" s="9">
        <v>0.26218000000000002</v>
      </c>
      <c r="BB154" s="9">
        <v>0.26312000000000002</v>
      </c>
      <c r="BC154" s="9">
        <v>0.26438</v>
      </c>
      <c r="BD154" s="9">
        <v>0.26155</v>
      </c>
      <c r="BE154" s="9">
        <v>0.26263999999999998</v>
      </c>
      <c r="BF154" s="9">
        <v>0.26123000000000002</v>
      </c>
      <c r="BG154" s="9">
        <v>0.26196000000000003</v>
      </c>
      <c r="BH154" s="9">
        <v>0.26219999999999999</v>
      </c>
      <c r="BI154" s="9">
        <v>0.26221</v>
      </c>
      <c r="BJ154" s="9">
        <v>0.26200000000000001</v>
      </c>
      <c r="BK154" s="9">
        <v>0.26014999999999999</v>
      </c>
      <c r="BL154" s="9">
        <v>0.26175999999999999</v>
      </c>
      <c r="BM154" s="9">
        <v>0.26373000000000002</v>
      </c>
      <c r="BN154" s="9">
        <v>0.26299</v>
      </c>
      <c r="BO154" s="9">
        <v>0.26325999999999999</v>
      </c>
      <c r="BP154" s="9">
        <v>0.26249</v>
      </c>
      <c r="BQ154" s="9">
        <v>0.26311000000000001</v>
      </c>
      <c r="BR154" s="9">
        <v>0.25902999999999998</v>
      </c>
      <c r="BS154" s="9">
        <v>0.26362999999999998</v>
      </c>
      <c r="BT154" s="9">
        <v>0.2616</v>
      </c>
      <c r="BU154" s="9">
        <v>0.26196000000000003</v>
      </c>
      <c r="BV154" s="9">
        <v>0.26101999999999997</v>
      </c>
      <c r="BW154" s="9">
        <v>0.26358999999999999</v>
      </c>
      <c r="BX154" s="9">
        <v>0.26123000000000002</v>
      </c>
      <c r="BY154" s="9">
        <v>0.26429000000000002</v>
      </c>
      <c r="BZ154" s="9">
        <v>0.26266</v>
      </c>
      <c r="CA154" s="9">
        <v>0.26256000000000002</v>
      </c>
      <c r="CB154" s="9">
        <v>0.26388</v>
      </c>
      <c r="CC154" s="9">
        <v>0.26417000000000002</v>
      </c>
      <c r="CD154" s="9">
        <v>0.26140999999999998</v>
      </c>
      <c r="CE154" s="9">
        <v>0.26266</v>
      </c>
      <c r="CF154" s="9">
        <v>0.25963000000000003</v>
      </c>
      <c r="CG154" s="9">
        <v>0.26091999999999999</v>
      </c>
      <c r="CH154" s="9">
        <v>0.26112999999999997</v>
      </c>
      <c r="CI154" s="9">
        <v>0.26171</v>
      </c>
      <c r="CJ154" s="9">
        <v>0.26295000000000002</v>
      </c>
      <c r="CK154" s="9">
        <v>0.26147999999999999</v>
      </c>
      <c r="CL154" s="9">
        <v>0.26527000000000001</v>
      </c>
      <c r="CM154" s="9">
        <v>0.25958999999999999</v>
      </c>
      <c r="CN154" s="9">
        <v>0.26012000000000002</v>
      </c>
      <c r="CO154" s="9">
        <v>0.26124000000000003</v>
      </c>
      <c r="CP154" s="9">
        <v>0.26340000000000002</v>
      </c>
      <c r="CQ154" s="9">
        <v>0.26334000000000002</v>
      </c>
      <c r="CR154" s="9">
        <v>0.26141999999999999</v>
      </c>
      <c r="CS154" s="9">
        <v>0.26221</v>
      </c>
      <c r="CT154" s="9">
        <v>0.26351999999999998</v>
      </c>
      <c r="CU154" s="9">
        <v>0.26278000000000001</v>
      </c>
      <c r="CV154" s="9">
        <v>0.26039000000000001</v>
      </c>
      <c r="CW154" s="9">
        <v>0.26147999999999999</v>
      </c>
      <c r="CX154" s="9">
        <v>0.26141999999999999</v>
      </c>
      <c r="CY154" s="9">
        <v>0.2621</v>
      </c>
    </row>
    <row r="155" spans="1:103" ht="13">
      <c r="A155" s="2"/>
      <c r="B155" s="17"/>
      <c r="C155" s="32">
        <v>1000000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</row>
    <row r="156" spans="1:103" ht="13">
      <c r="A156" s="2"/>
      <c r="B156" s="17"/>
      <c r="C156" s="31"/>
      <c r="D156" s="17"/>
      <c r="E156" s="17"/>
      <c r="F156" s="17"/>
      <c r="G156" s="17"/>
      <c r="H156" s="17"/>
      <c r="I156" s="21"/>
      <c r="J156" s="21"/>
      <c r="K156" s="21"/>
      <c r="L156" s="21"/>
      <c r="M156" s="21"/>
      <c r="N156" s="21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</row>
    <row r="157" spans="1:103" ht="13">
      <c r="A157" s="2"/>
      <c r="B157" s="27" t="s">
        <v>28</v>
      </c>
      <c r="C157" s="31"/>
      <c r="D157" s="17"/>
      <c r="E157" s="17"/>
      <c r="F157" s="17"/>
      <c r="G157" s="17"/>
      <c r="H157" s="17"/>
      <c r="I157" s="21"/>
      <c r="J157" s="21"/>
      <c r="K157" s="21"/>
      <c r="L157" s="21"/>
      <c r="M157" s="21"/>
      <c r="N157" s="21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</row>
    <row r="158" spans="1:103" ht="13">
      <c r="A158" s="2"/>
      <c r="B158" s="17"/>
      <c r="C158" s="31" t="s">
        <v>17</v>
      </c>
      <c r="D158" s="1" t="s">
        <v>30</v>
      </c>
      <c r="E158" s="1" t="s">
        <v>37</v>
      </c>
      <c r="F158" s="1" t="s">
        <v>18</v>
      </c>
      <c r="G158" s="17"/>
      <c r="H158" s="17"/>
      <c r="I158" s="21"/>
      <c r="J158" s="21"/>
      <c r="K158" s="21"/>
      <c r="L158" s="21"/>
      <c r="M158" s="21"/>
      <c r="N158" s="21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</row>
    <row r="159" spans="1:103" ht="13">
      <c r="A159" s="2"/>
      <c r="B159" s="17"/>
      <c r="C159" s="32">
        <v>10</v>
      </c>
      <c r="D159" s="29">
        <f t="shared" ref="D159:D163" si="16">AVERAGE(D150:CY150)</f>
        <v>0.23499999999999999</v>
      </c>
      <c r="E159" s="29">
        <v>0.26223600000000002</v>
      </c>
      <c r="F159">
        <v>0.25710000000000005</v>
      </c>
      <c r="G159" s="17"/>
      <c r="H159" s="2"/>
      <c r="I159" s="21"/>
      <c r="J159" s="21"/>
      <c r="K159" s="21"/>
      <c r="L159" s="21"/>
      <c r="M159" s="21"/>
      <c r="N159" s="21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</row>
    <row r="160" spans="1:103" ht="13">
      <c r="A160" s="2"/>
      <c r="B160" s="17"/>
      <c r="C160" s="32">
        <v>100</v>
      </c>
      <c r="D160" s="29">
        <f t="shared" si="16"/>
        <v>0.26219999999999999</v>
      </c>
      <c r="E160" s="29">
        <v>0.26223600000000002</v>
      </c>
      <c r="F160">
        <v>0.26148000000000005</v>
      </c>
      <c r="G160" s="17"/>
      <c r="H160" s="2"/>
      <c r="I160" s="21"/>
      <c r="J160" s="21"/>
      <c r="K160" s="21"/>
      <c r="L160" s="21"/>
      <c r="M160" s="21"/>
      <c r="N160" s="21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</row>
    <row r="161" spans="1:103" ht="13">
      <c r="A161" s="2"/>
      <c r="B161" s="17"/>
      <c r="C161" s="32">
        <v>1000</v>
      </c>
      <c r="D161" s="29">
        <f t="shared" si="16"/>
        <v>0.2632199999999999</v>
      </c>
      <c r="E161" s="29">
        <v>0.26223600000000002</v>
      </c>
      <c r="F161">
        <v>0.26082150000000009</v>
      </c>
      <c r="G161" s="17"/>
      <c r="H161" s="2"/>
      <c r="I161" s="21"/>
      <c r="J161" s="21"/>
      <c r="K161" s="21"/>
      <c r="L161" s="21"/>
      <c r="M161" s="21"/>
      <c r="N161" s="21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</row>
    <row r="162" spans="1:103" ht="13">
      <c r="A162" s="2"/>
      <c r="B162" s="17"/>
      <c r="C162" s="32">
        <v>10000</v>
      </c>
      <c r="D162" s="29">
        <f t="shared" si="16"/>
        <v>0.2619999999999999</v>
      </c>
      <c r="E162" s="29">
        <v>0.26223600000000002</v>
      </c>
      <c r="F162">
        <v>0.26241945000000005</v>
      </c>
      <c r="G162" s="17"/>
      <c r="H162" s="2"/>
      <c r="I162" s="21"/>
      <c r="J162" s="21"/>
      <c r="K162" s="21"/>
      <c r="L162" s="21"/>
      <c r="M162" s="21"/>
      <c r="N162" s="21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</row>
    <row r="163" spans="1:103" ht="13">
      <c r="A163" s="2"/>
      <c r="B163" s="17"/>
      <c r="C163" s="32">
        <v>100000</v>
      </c>
      <c r="D163" s="29">
        <f t="shared" si="16"/>
        <v>0.26228180000000001</v>
      </c>
      <c r="E163" s="29">
        <v>0.26223600000000002</v>
      </c>
      <c r="F163">
        <v>0.26218273999999991</v>
      </c>
      <c r="G163" s="17"/>
      <c r="H163" s="2"/>
      <c r="I163" s="21"/>
      <c r="J163" s="21"/>
      <c r="K163" s="21"/>
      <c r="L163" s="21"/>
      <c r="M163" s="21"/>
      <c r="N163" s="21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</row>
    <row r="164" spans="1:103" ht="13">
      <c r="A164" s="2"/>
      <c r="B164" s="17"/>
      <c r="C164" s="32"/>
      <c r="D164" s="29"/>
      <c r="E164" s="29"/>
      <c r="F164" s="17"/>
      <c r="G164" s="17"/>
      <c r="H164" s="2"/>
      <c r="I164" s="21"/>
      <c r="J164" s="21"/>
      <c r="K164" s="21"/>
      <c r="L164" s="21"/>
      <c r="M164" s="21"/>
      <c r="N164" s="21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</row>
    <row r="165" spans="1:103" ht="13">
      <c r="A165" s="2"/>
      <c r="B165" s="17"/>
      <c r="C165" s="31"/>
      <c r="D165" s="17"/>
      <c r="E165" s="17"/>
      <c r="F165" s="17"/>
      <c r="G165" s="17"/>
      <c r="H165" s="2"/>
      <c r="I165" s="21"/>
      <c r="J165" s="21"/>
      <c r="K165" s="21"/>
      <c r="L165" s="21"/>
      <c r="M165" s="21"/>
      <c r="N165" s="21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</row>
    <row r="166" spans="1:103" ht="13">
      <c r="A166" s="2"/>
      <c r="B166" s="27" t="s">
        <v>31</v>
      </c>
      <c r="C166" s="31"/>
      <c r="D166" s="17"/>
      <c r="E166" s="17"/>
      <c r="F166" s="17"/>
      <c r="G166" s="17"/>
      <c r="H166" s="2"/>
      <c r="I166" s="21"/>
      <c r="J166" s="21"/>
      <c r="K166" s="21"/>
      <c r="L166" s="21"/>
      <c r="M166" s="21"/>
      <c r="N166" s="21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</row>
    <row r="167" spans="1:103" ht="13">
      <c r="A167" s="2"/>
      <c r="B167" s="17"/>
      <c r="C167" s="31" t="s">
        <v>17</v>
      </c>
      <c r="D167" s="1" t="s">
        <v>38</v>
      </c>
      <c r="E167" s="1" t="s">
        <v>39</v>
      </c>
      <c r="F167" s="35" t="s">
        <v>40</v>
      </c>
      <c r="G167" s="17"/>
      <c r="H167" s="2"/>
      <c r="I167" s="21"/>
      <c r="J167" s="21"/>
      <c r="K167" s="21"/>
      <c r="L167" s="21"/>
      <c r="M167" s="21"/>
      <c r="N167" s="21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</row>
    <row r="168" spans="1:103" ht="13">
      <c r="A168" s="2"/>
      <c r="B168" s="17"/>
      <c r="C168" s="32">
        <v>10</v>
      </c>
      <c r="D168" s="29" t="e">
        <f t="shared" ref="D168:D172" ca="1" si="17">_xludf.VAR.S(D150:CY150)</f>
        <v>#NAME?</v>
      </c>
      <c r="E168" s="31">
        <f t="shared" ref="E168:E172" si="18">E159*(1-E159)/C168</f>
        <v>1.9346828030400002E-2</v>
      </c>
      <c r="F168" s="17">
        <v>6.5864545454545446E-3</v>
      </c>
      <c r="G168" s="17"/>
      <c r="H168" s="2"/>
      <c r="I168" s="21"/>
      <c r="J168" s="21"/>
      <c r="K168" s="21"/>
      <c r="L168" s="21"/>
      <c r="M168" s="21"/>
      <c r="N168" s="21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</row>
    <row r="169" spans="1:103" ht="13">
      <c r="A169" s="2"/>
      <c r="B169" s="17"/>
      <c r="C169" s="32">
        <v>100</v>
      </c>
      <c r="D169" s="29" t="e">
        <f t="shared" ca="1" si="17"/>
        <v>#NAME?</v>
      </c>
      <c r="E169" s="31">
        <f t="shared" si="18"/>
        <v>1.93468280304E-3</v>
      </c>
      <c r="F169" s="17">
        <v>7.9867636363636311E-4</v>
      </c>
      <c r="G169" s="17"/>
      <c r="H169" s="2"/>
      <c r="I169" s="21"/>
      <c r="J169" s="21"/>
      <c r="K169" s="21"/>
      <c r="L169" s="21"/>
      <c r="M169" s="21"/>
      <c r="N169" s="21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</row>
    <row r="170" spans="1:103" ht="13">
      <c r="A170" s="2"/>
      <c r="B170" s="17"/>
      <c r="C170" s="32">
        <v>1000</v>
      </c>
      <c r="D170" s="29" t="e">
        <f t="shared" ca="1" si="17"/>
        <v>#NAME?</v>
      </c>
      <c r="E170" s="31">
        <f t="shared" si="18"/>
        <v>1.9346828030400001E-4</v>
      </c>
      <c r="F170" s="17">
        <v>6.6576679545454583E-5</v>
      </c>
      <c r="G170" s="17"/>
      <c r="H170" s="2"/>
      <c r="I170" s="21"/>
      <c r="J170" s="21"/>
      <c r="K170" s="21"/>
      <c r="L170" s="21"/>
      <c r="M170" s="21"/>
      <c r="N170" s="21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</row>
    <row r="171" spans="1:103" ht="13">
      <c r="A171" s="2"/>
      <c r="B171" s="17"/>
      <c r="C171" s="32">
        <v>10000</v>
      </c>
      <c r="D171" s="29" t="e">
        <f t="shared" ca="1" si="17"/>
        <v>#NAME?</v>
      </c>
      <c r="E171" s="31">
        <f t="shared" si="18"/>
        <v>1.9346828030400001E-5</v>
      </c>
      <c r="F171" s="17">
        <v>7.3943984318181667E-6</v>
      </c>
      <c r="G171" s="17"/>
      <c r="H171" s="2"/>
      <c r="I171" s="21"/>
      <c r="J171" s="21"/>
      <c r="K171" s="21"/>
      <c r="L171" s="21"/>
      <c r="M171" s="21"/>
      <c r="N171" s="21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</row>
    <row r="172" spans="1:103" ht="13">
      <c r="A172" s="2"/>
      <c r="B172" s="17"/>
      <c r="C172" s="32">
        <v>100000</v>
      </c>
      <c r="D172" s="29" t="e">
        <f t="shared" ca="1" si="17"/>
        <v>#NAME?</v>
      </c>
      <c r="E172" s="31">
        <f t="shared" si="18"/>
        <v>1.9346828030400001E-6</v>
      </c>
      <c r="F172" s="17">
        <v>7.6539813373738116E-7</v>
      </c>
      <c r="G172" s="17"/>
      <c r="H172" s="2"/>
      <c r="I172" s="21"/>
      <c r="J172" s="21"/>
      <c r="K172" s="21"/>
      <c r="L172" s="21"/>
      <c r="M172" s="21"/>
      <c r="N172" s="21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</row>
    <row r="173" spans="1:103" ht="13">
      <c r="A173" s="2"/>
      <c r="B173" s="17"/>
      <c r="C173" s="32"/>
      <c r="D173" s="40"/>
      <c r="E173" s="17"/>
      <c r="F173" s="17"/>
      <c r="G173" s="17"/>
      <c r="H173" s="2"/>
      <c r="I173" s="21"/>
      <c r="J173" s="21"/>
      <c r="K173" s="21"/>
      <c r="L173" s="21"/>
      <c r="M173" s="21"/>
      <c r="N173" s="21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</row>
    <row r="174" spans="1:103" ht="13">
      <c r="A174" s="2"/>
      <c r="B174" s="17"/>
      <c r="C174" s="31"/>
      <c r="D174" s="17"/>
      <c r="E174" s="17"/>
      <c r="F174" s="17"/>
      <c r="G174" s="17"/>
      <c r="H174" s="2"/>
      <c r="I174" s="21"/>
      <c r="J174" s="21"/>
      <c r="K174" s="21"/>
      <c r="L174" s="21"/>
      <c r="M174" s="21"/>
      <c r="N174" s="21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</row>
    <row r="175" spans="1:103" ht="13">
      <c r="A175" s="2"/>
      <c r="B175" s="17"/>
      <c r="C175" s="31"/>
      <c r="D175" s="17"/>
      <c r="E175" s="17"/>
      <c r="F175" s="17"/>
      <c r="G175" s="17"/>
      <c r="H175" s="2"/>
      <c r="I175" s="21"/>
      <c r="J175" s="21"/>
      <c r="K175" s="21"/>
      <c r="L175" s="21"/>
      <c r="M175" s="21"/>
      <c r="N175" s="21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</row>
    <row r="176" spans="1:103" ht="13">
      <c r="A176" s="2"/>
      <c r="B176" s="17"/>
      <c r="C176" s="17"/>
      <c r="D176" s="17"/>
      <c r="E176" s="17"/>
      <c r="F176" s="17"/>
      <c r="G176" s="17"/>
      <c r="H176" s="2"/>
      <c r="I176" s="21"/>
      <c r="J176" s="21"/>
      <c r="K176" s="21"/>
      <c r="L176" s="21"/>
      <c r="M176" s="21"/>
      <c r="N176" s="21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</row>
    <row r="177" spans="1:103" ht="13">
      <c r="A177" s="2"/>
      <c r="B177" s="17"/>
      <c r="C177" s="17"/>
      <c r="D177" s="17"/>
      <c r="E177" s="17"/>
      <c r="F177" s="17"/>
      <c r="G177" s="17"/>
      <c r="H177" s="2"/>
      <c r="I177" s="21"/>
      <c r="J177" s="21"/>
      <c r="K177" s="21"/>
      <c r="L177" s="21"/>
      <c r="M177" s="21"/>
      <c r="N177" s="21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</row>
    <row r="178" spans="1:103" ht="13">
      <c r="A178" s="2"/>
      <c r="B178" s="27"/>
      <c r="C178" s="29"/>
      <c r="D178" s="17"/>
      <c r="E178" s="17"/>
      <c r="F178" s="17"/>
      <c r="G178" s="17"/>
      <c r="H178" s="2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</row>
    <row r="179" spans="1:103" ht="13">
      <c r="A179" s="2"/>
      <c r="B179" s="17"/>
      <c r="C179" s="17"/>
      <c r="D179" s="17"/>
      <c r="E179" s="17"/>
      <c r="F179" s="17"/>
      <c r="G179" s="17"/>
      <c r="H179" s="2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</row>
    <row r="180" spans="1:103" ht="13">
      <c r="A180" s="2"/>
      <c r="B180" s="17"/>
      <c r="C180" s="24"/>
      <c r="D180" s="17"/>
      <c r="E180" s="17"/>
      <c r="F180" s="17"/>
      <c r="G180" s="17"/>
      <c r="H180" s="2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24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</row>
    <row r="181" spans="1:103" ht="13">
      <c r="A181" s="2"/>
      <c r="B181" s="17"/>
      <c r="C181" s="24"/>
      <c r="D181" s="17"/>
      <c r="E181" s="17"/>
      <c r="F181" s="17"/>
      <c r="G181" s="17"/>
      <c r="H181" s="2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24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</row>
    <row r="182" spans="1:103" ht="13">
      <c r="A182" s="2"/>
      <c r="B182" s="35"/>
      <c r="C182" s="24"/>
      <c r="D182" s="17"/>
      <c r="E182" s="17"/>
      <c r="F182" s="17"/>
      <c r="G182" s="17"/>
      <c r="H182" s="2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24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</row>
    <row r="183" spans="1:103" ht="13">
      <c r="A183" s="41"/>
      <c r="B183" s="42"/>
      <c r="C183" s="43"/>
      <c r="D183" s="42"/>
      <c r="E183" s="42"/>
      <c r="F183" s="42"/>
      <c r="G183" s="42"/>
      <c r="H183" s="41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3"/>
      <c r="CA183" s="42"/>
      <c r="CB183" s="42"/>
      <c r="CC183" s="42"/>
      <c r="CD183" s="42"/>
      <c r="CE183" s="42"/>
      <c r="CF183" s="42"/>
      <c r="CG183" s="42"/>
      <c r="CH183" s="42"/>
      <c r="CI183" s="42"/>
      <c r="CJ183" s="42"/>
      <c r="CK183" s="42"/>
      <c r="CL183" s="42"/>
      <c r="CM183" s="42"/>
      <c r="CN183" s="42"/>
      <c r="CO183" s="42"/>
      <c r="CP183" s="42"/>
      <c r="CQ183" s="42"/>
      <c r="CR183" s="42"/>
      <c r="CS183" s="42"/>
      <c r="CT183" s="42"/>
      <c r="CU183" s="42"/>
      <c r="CV183" s="42"/>
      <c r="CW183" s="42"/>
      <c r="CX183" s="42"/>
      <c r="CY183" s="42"/>
    </row>
    <row r="184" spans="1:103" ht="13">
      <c r="A184" s="2"/>
      <c r="B184" s="31"/>
      <c r="C184" s="24"/>
      <c r="D184" s="17"/>
      <c r="E184" s="17"/>
      <c r="F184" s="17"/>
      <c r="G184" s="17"/>
      <c r="H184" s="2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24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</row>
    <row r="185" spans="1:103" ht="13">
      <c r="A185" s="2"/>
      <c r="B185" s="32"/>
      <c r="C185" s="24"/>
      <c r="D185" s="17"/>
      <c r="E185" s="17"/>
      <c r="F185" s="17"/>
      <c r="G185" s="17"/>
      <c r="H185" s="2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24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</row>
    <row r="186" spans="1:103" ht="13">
      <c r="A186" s="2"/>
      <c r="B186" s="32"/>
      <c r="C186" s="17"/>
      <c r="D186" s="17"/>
      <c r="E186" s="17"/>
      <c r="F186" s="17"/>
      <c r="G186" s="17"/>
      <c r="H186" s="2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</row>
    <row r="187" spans="1:103" ht="13">
      <c r="A187" s="2"/>
      <c r="B187" s="32"/>
      <c r="C187" s="17"/>
      <c r="D187" s="17"/>
      <c r="E187" s="17"/>
      <c r="F187" s="17"/>
      <c r="G187" s="17"/>
      <c r="H187" s="2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</row>
    <row r="188" spans="1:103" ht="64">
      <c r="A188" s="2"/>
      <c r="B188" s="32"/>
      <c r="C188" s="44" t="s">
        <v>41</v>
      </c>
      <c r="D188" s="17"/>
      <c r="E188" s="17"/>
      <c r="F188" s="17"/>
      <c r="G188" s="17"/>
      <c r="H188" s="2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</row>
    <row r="189" spans="1:103" ht="13">
      <c r="A189" s="2"/>
      <c r="B189" s="32"/>
      <c r="C189" s="45" t="s">
        <v>42</v>
      </c>
      <c r="D189" s="35" t="s">
        <v>43</v>
      </c>
      <c r="E189" s="17"/>
      <c r="F189" s="17"/>
      <c r="G189" s="17"/>
      <c r="H189" s="2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</row>
    <row r="190" spans="1:103" ht="13">
      <c r="A190" s="2"/>
      <c r="B190" s="17"/>
      <c r="C190" s="45" t="s">
        <v>44</v>
      </c>
      <c r="D190" s="17"/>
      <c r="E190" s="17"/>
      <c r="F190" s="17"/>
      <c r="G190" s="17"/>
      <c r="H190" s="2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</row>
    <row r="191" spans="1:103" ht="13">
      <c r="A191" s="2"/>
      <c r="B191" s="17"/>
      <c r="C191" s="24"/>
      <c r="D191" s="17"/>
      <c r="E191" s="17"/>
      <c r="F191" s="17"/>
      <c r="G191" s="17"/>
      <c r="H191" s="2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</row>
    <row r="192" spans="1:103" ht="13">
      <c r="A192" s="2"/>
      <c r="B192" s="46" t="s">
        <v>45</v>
      </c>
      <c r="D192" s="17"/>
      <c r="E192" s="17"/>
      <c r="F192" s="17"/>
      <c r="G192" s="17"/>
      <c r="H192" s="2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</row>
    <row r="193" spans="1:103" ht="13">
      <c r="A193" s="1"/>
      <c r="B193" s="17"/>
      <c r="C193" s="32" t="s">
        <v>16</v>
      </c>
      <c r="D193" s="29">
        <v>1</v>
      </c>
      <c r="E193" s="29">
        <v>2</v>
      </c>
      <c r="F193" s="29">
        <v>3</v>
      </c>
      <c r="G193" s="29">
        <v>4</v>
      </c>
      <c r="H193" s="29">
        <v>5</v>
      </c>
      <c r="I193" s="30">
        <v>6</v>
      </c>
      <c r="J193" s="30">
        <v>7</v>
      </c>
      <c r="K193" s="30">
        <v>8</v>
      </c>
      <c r="L193" s="30">
        <v>9</v>
      </c>
      <c r="M193" s="30">
        <v>10</v>
      </c>
      <c r="N193" s="30">
        <v>11</v>
      </c>
      <c r="O193" s="29">
        <v>12</v>
      </c>
      <c r="P193" s="29">
        <v>13</v>
      </c>
      <c r="Q193" s="29">
        <v>14</v>
      </c>
      <c r="R193" s="29">
        <v>15</v>
      </c>
      <c r="S193" s="29">
        <v>16</v>
      </c>
      <c r="T193" s="29">
        <v>17</v>
      </c>
      <c r="U193" s="29">
        <v>18</v>
      </c>
      <c r="V193" s="29">
        <v>19</v>
      </c>
      <c r="W193" s="29">
        <v>20</v>
      </c>
      <c r="X193" s="29">
        <v>21</v>
      </c>
      <c r="Y193" s="29">
        <v>22</v>
      </c>
      <c r="Z193" s="29">
        <v>23</v>
      </c>
      <c r="AA193" s="29">
        <v>24</v>
      </c>
      <c r="AB193" s="29">
        <v>25</v>
      </c>
      <c r="AC193" s="29">
        <v>26</v>
      </c>
      <c r="AD193" s="29">
        <v>27</v>
      </c>
      <c r="AE193" s="29">
        <v>28</v>
      </c>
      <c r="AF193" s="29">
        <v>29</v>
      </c>
      <c r="AG193" s="29">
        <v>30</v>
      </c>
      <c r="AH193" s="29">
        <v>31</v>
      </c>
      <c r="AI193" s="29">
        <v>32</v>
      </c>
      <c r="AJ193" s="29">
        <v>33</v>
      </c>
      <c r="AK193" s="29">
        <v>34</v>
      </c>
      <c r="AL193" s="29">
        <v>35</v>
      </c>
      <c r="AM193" s="29">
        <v>36</v>
      </c>
      <c r="AN193" s="29">
        <v>37</v>
      </c>
      <c r="AO193" s="29">
        <v>38</v>
      </c>
      <c r="AP193" s="29">
        <v>39</v>
      </c>
      <c r="AQ193" s="29">
        <v>40</v>
      </c>
      <c r="AR193" s="29">
        <v>41</v>
      </c>
      <c r="AS193" s="29">
        <v>42</v>
      </c>
      <c r="AT193" s="29">
        <v>43</v>
      </c>
      <c r="AU193" s="29">
        <v>44</v>
      </c>
      <c r="AV193" s="29">
        <v>45</v>
      </c>
      <c r="AW193" s="29">
        <v>46</v>
      </c>
      <c r="AX193" s="29">
        <v>47</v>
      </c>
      <c r="AY193" s="29">
        <v>48</v>
      </c>
      <c r="AZ193" s="29">
        <v>49</v>
      </c>
      <c r="BA193" s="29">
        <v>50</v>
      </c>
      <c r="BB193" s="29">
        <v>51</v>
      </c>
      <c r="BC193" s="29">
        <v>52</v>
      </c>
      <c r="BD193" s="29">
        <v>53</v>
      </c>
      <c r="BE193" s="29">
        <v>54</v>
      </c>
      <c r="BF193" s="29">
        <v>55</v>
      </c>
      <c r="BG193" s="29">
        <v>56</v>
      </c>
      <c r="BH193" s="29">
        <v>57</v>
      </c>
      <c r="BI193" s="29">
        <v>58</v>
      </c>
      <c r="BJ193" s="29">
        <v>59</v>
      </c>
      <c r="BK193" s="29">
        <v>60</v>
      </c>
      <c r="BL193" s="29">
        <v>61</v>
      </c>
      <c r="BM193" s="29">
        <v>62</v>
      </c>
      <c r="BN193" s="29">
        <v>63</v>
      </c>
      <c r="BO193" s="29">
        <v>64</v>
      </c>
      <c r="BP193" s="29">
        <v>65</v>
      </c>
      <c r="BQ193" s="29">
        <v>66</v>
      </c>
      <c r="BR193" s="29">
        <v>67</v>
      </c>
      <c r="BS193" s="29">
        <v>68</v>
      </c>
      <c r="BT193" s="29">
        <v>69</v>
      </c>
      <c r="BU193" s="29">
        <v>70</v>
      </c>
      <c r="BV193" s="29">
        <v>71</v>
      </c>
      <c r="BW193" s="29">
        <v>72</v>
      </c>
      <c r="BX193" s="29">
        <v>73</v>
      </c>
      <c r="BY193" s="29">
        <v>74</v>
      </c>
      <c r="BZ193" s="29">
        <v>75</v>
      </c>
      <c r="CA193" s="29">
        <v>76</v>
      </c>
      <c r="CB193" s="29">
        <v>77</v>
      </c>
      <c r="CC193" s="29">
        <v>78</v>
      </c>
      <c r="CD193" s="29">
        <v>79</v>
      </c>
      <c r="CE193" s="29">
        <v>80</v>
      </c>
      <c r="CF193" s="29">
        <v>81</v>
      </c>
      <c r="CG193" s="29">
        <v>82</v>
      </c>
      <c r="CH193" s="29">
        <v>83</v>
      </c>
      <c r="CI193" s="29">
        <v>84</v>
      </c>
      <c r="CJ193" s="29">
        <v>85</v>
      </c>
      <c r="CK193" s="29">
        <v>86</v>
      </c>
      <c r="CL193" s="29">
        <v>87</v>
      </c>
      <c r="CM193" s="29">
        <v>88</v>
      </c>
      <c r="CN193" s="29">
        <v>89</v>
      </c>
      <c r="CO193" s="29">
        <v>90</v>
      </c>
      <c r="CP193" s="29">
        <v>91</v>
      </c>
      <c r="CQ193" s="29">
        <v>92</v>
      </c>
      <c r="CR193" s="29">
        <v>93</v>
      </c>
      <c r="CS193" s="29">
        <v>94</v>
      </c>
      <c r="CT193" s="29">
        <v>95</v>
      </c>
      <c r="CU193" s="29">
        <v>96</v>
      </c>
      <c r="CV193" s="29">
        <v>97</v>
      </c>
      <c r="CW193" s="29">
        <v>98</v>
      </c>
      <c r="CX193" s="29">
        <v>99</v>
      </c>
      <c r="CY193" s="29">
        <v>100</v>
      </c>
    </row>
    <row r="194" spans="1:103" ht="13">
      <c r="A194" s="1"/>
      <c r="B194" s="17"/>
      <c r="C194" s="31" t="s">
        <v>17</v>
      </c>
      <c r="D194" s="17"/>
      <c r="E194" s="17"/>
      <c r="F194" s="17"/>
      <c r="G194" s="17"/>
      <c r="H194" s="17"/>
      <c r="I194" s="21"/>
      <c r="J194" s="21"/>
      <c r="K194" s="21"/>
      <c r="L194" s="21"/>
      <c r="M194" s="21"/>
      <c r="N194" s="21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</row>
    <row r="195" spans="1:103" ht="13">
      <c r="A195" s="1"/>
      <c r="B195" s="17"/>
      <c r="C195" s="32">
        <v>10</v>
      </c>
      <c r="D195" s="9">
        <v>0.2</v>
      </c>
      <c r="E195" s="9">
        <v>0.1</v>
      </c>
      <c r="F195" s="9">
        <v>0.1</v>
      </c>
      <c r="G195" s="9">
        <v>0</v>
      </c>
      <c r="H195" s="9">
        <v>0.1</v>
      </c>
      <c r="I195" s="9">
        <v>0.1</v>
      </c>
      <c r="J195" s="9">
        <v>0.2</v>
      </c>
      <c r="K195" s="9">
        <v>0.2</v>
      </c>
      <c r="L195" s="9">
        <v>0.2</v>
      </c>
      <c r="M195" s="9">
        <v>0</v>
      </c>
      <c r="N195" s="9">
        <v>0.1</v>
      </c>
      <c r="O195" s="9">
        <v>0.1</v>
      </c>
      <c r="P195" s="9">
        <v>0.1</v>
      </c>
      <c r="Q195" s="9">
        <v>0.1</v>
      </c>
      <c r="R195" s="9">
        <v>0.1</v>
      </c>
      <c r="S195" s="9">
        <v>0.1</v>
      </c>
      <c r="T195" s="9">
        <v>0.2</v>
      </c>
      <c r="U195" s="9">
        <v>0</v>
      </c>
      <c r="V195" s="9">
        <v>0.2</v>
      </c>
      <c r="W195" s="9">
        <v>0.1</v>
      </c>
      <c r="X195" s="9">
        <v>0.2</v>
      </c>
      <c r="Y195" s="9">
        <v>0</v>
      </c>
      <c r="Z195" s="9">
        <v>0.1</v>
      </c>
      <c r="AA195" s="9">
        <v>0.1</v>
      </c>
      <c r="AB195" s="9">
        <v>0.3</v>
      </c>
      <c r="AC195" s="9">
        <v>0</v>
      </c>
      <c r="AD195" s="9">
        <v>0.2</v>
      </c>
      <c r="AE195" s="9">
        <v>0</v>
      </c>
      <c r="AF195" s="9">
        <v>0.2</v>
      </c>
      <c r="AG195" s="9">
        <v>0.1</v>
      </c>
      <c r="AH195" s="9">
        <v>0</v>
      </c>
      <c r="AI195" s="9">
        <v>0.2</v>
      </c>
      <c r="AJ195" s="9">
        <v>0.2</v>
      </c>
      <c r="AK195" s="9">
        <v>0</v>
      </c>
      <c r="AL195" s="9">
        <v>0.1</v>
      </c>
      <c r="AM195" s="9">
        <v>0.1</v>
      </c>
      <c r="AN195" s="9">
        <v>0.2</v>
      </c>
      <c r="AO195" s="9">
        <v>0.1</v>
      </c>
      <c r="AP195" s="9">
        <v>0</v>
      </c>
      <c r="AQ195" s="9">
        <v>0.2</v>
      </c>
      <c r="AR195" s="9">
        <v>0.2</v>
      </c>
      <c r="AS195" s="9">
        <v>0.2</v>
      </c>
      <c r="AT195" s="9">
        <v>0</v>
      </c>
      <c r="AU195" s="9">
        <v>0</v>
      </c>
      <c r="AV195" s="9">
        <v>0.2</v>
      </c>
      <c r="AW195" s="9">
        <v>0</v>
      </c>
      <c r="AX195" s="9">
        <v>0</v>
      </c>
      <c r="AY195" s="9">
        <v>0.2</v>
      </c>
      <c r="AZ195" s="9">
        <v>0.2</v>
      </c>
      <c r="BA195" s="9">
        <v>0.1</v>
      </c>
      <c r="BB195" s="9">
        <v>0</v>
      </c>
      <c r="BC195" s="9">
        <v>0.3</v>
      </c>
      <c r="BD195" s="9">
        <v>0.1</v>
      </c>
      <c r="BE195" s="9">
        <v>0.3</v>
      </c>
      <c r="BF195" s="9">
        <v>0.1</v>
      </c>
      <c r="BG195" s="9">
        <v>0.2</v>
      </c>
      <c r="BH195" s="9">
        <v>0.2</v>
      </c>
      <c r="BI195" s="9">
        <v>0.1</v>
      </c>
      <c r="BJ195" s="9">
        <v>0.1</v>
      </c>
      <c r="BK195" s="9">
        <v>0.1</v>
      </c>
      <c r="BL195" s="9">
        <v>0</v>
      </c>
      <c r="BM195" s="9">
        <v>0.3</v>
      </c>
      <c r="BN195" s="9">
        <v>0</v>
      </c>
      <c r="BO195" s="9">
        <v>0.1</v>
      </c>
      <c r="BP195" s="9">
        <v>0.2</v>
      </c>
      <c r="BQ195" s="9">
        <v>0.1</v>
      </c>
      <c r="BR195" s="9">
        <v>0.1</v>
      </c>
      <c r="BS195" s="9">
        <v>0.1</v>
      </c>
      <c r="BT195" s="9">
        <v>0.2</v>
      </c>
      <c r="BU195" s="9">
        <v>0.2</v>
      </c>
      <c r="BV195" s="9">
        <v>0</v>
      </c>
      <c r="BW195" s="9">
        <v>0</v>
      </c>
      <c r="BX195" s="9">
        <v>0.2</v>
      </c>
      <c r="BY195" s="9">
        <v>0.2</v>
      </c>
      <c r="BZ195" s="9">
        <v>0</v>
      </c>
      <c r="CA195" s="9">
        <v>0.1</v>
      </c>
      <c r="CB195" s="9">
        <v>0.1</v>
      </c>
      <c r="CC195" s="9">
        <v>0.1</v>
      </c>
      <c r="CD195" s="9">
        <v>0.2</v>
      </c>
      <c r="CE195" s="9">
        <v>0</v>
      </c>
      <c r="CF195" s="9">
        <v>0.1</v>
      </c>
      <c r="CG195" s="9">
        <v>0.2</v>
      </c>
      <c r="CH195" s="9">
        <v>0.1</v>
      </c>
      <c r="CI195" s="9">
        <v>0</v>
      </c>
      <c r="CJ195" s="9">
        <v>0</v>
      </c>
      <c r="CK195" s="9">
        <v>0.3</v>
      </c>
      <c r="CL195" s="9">
        <v>0</v>
      </c>
      <c r="CM195" s="9">
        <v>0</v>
      </c>
      <c r="CN195" s="9">
        <v>0.2</v>
      </c>
      <c r="CO195" s="9">
        <v>0.1</v>
      </c>
      <c r="CP195" s="9">
        <v>0.2</v>
      </c>
      <c r="CQ195" s="9">
        <v>0.2</v>
      </c>
      <c r="CR195" s="9">
        <v>0</v>
      </c>
      <c r="CS195" s="9">
        <v>0.1</v>
      </c>
      <c r="CT195" s="9">
        <v>0.1</v>
      </c>
      <c r="CU195" s="9">
        <v>0.1</v>
      </c>
      <c r="CV195" s="9">
        <v>0.2</v>
      </c>
      <c r="CW195" s="9">
        <v>0.1</v>
      </c>
      <c r="CX195" s="9">
        <v>0.1</v>
      </c>
      <c r="CY195" s="9">
        <v>0</v>
      </c>
    </row>
    <row r="196" spans="1:103" ht="13">
      <c r="A196" s="1"/>
      <c r="B196" s="27"/>
      <c r="C196" s="32">
        <v>100</v>
      </c>
      <c r="D196" s="9">
        <v>7.0000000000000007E-2</v>
      </c>
      <c r="E196" s="9">
        <v>7.0000000000000007E-2</v>
      </c>
      <c r="F196" s="9">
        <v>0.18</v>
      </c>
      <c r="G196" s="9">
        <v>0.18</v>
      </c>
      <c r="H196" s="9">
        <v>0.13</v>
      </c>
      <c r="I196" s="9">
        <v>0.09</v>
      </c>
      <c r="J196" s="9">
        <v>0.1</v>
      </c>
      <c r="K196" s="9">
        <v>0.12</v>
      </c>
      <c r="L196" s="9">
        <v>0.15</v>
      </c>
      <c r="M196" s="9">
        <v>0.09</v>
      </c>
      <c r="N196" s="9">
        <v>0.13</v>
      </c>
      <c r="O196" s="9">
        <v>0.17</v>
      </c>
      <c r="P196" s="9">
        <v>0.12</v>
      </c>
      <c r="Q196" s="9">
        <v>0.12</v>
      </c>
      <c r="R196" s="9">
        <v>0.12</v>
      </c>
      <c r="S196" s="9">
        <v>0.14000000000000001</v>
      </c>
      <c r="T196" s="9">
        <v>0.14000000000000001</v>
      </c>
      <c r="U196" s="9">
        <v>0.14000000000000001</v>
      </c>
      <c r="V196" s="9">
        <v>0.16</v>
      </c>
      <c r="W196" s="9">
        <v>0.08</v>
      </c>
      <c r="X196" s="9">
        <v>0.12</v>
      </c>
      <c r="Y196" s="9">
        <v>0.12</v>
      </c>
      <c r="Z196" s="9">
        <v>0.04</v>
      </c>
      <c r="AA196" s="9">
        <v>0.15</v>
      </c>
      <c r="AB196" s="9">
        <v>0.08</v>
      </c>
      <c r="AC196" s="9">
        <v>0.02</v>
      </c>
      <c r="AD196" s="9">
        <v>7.0000000000000007E-2</v>
      </c>
      <c r="AE196" s="9">
        <v>0.1</v>
      </c>
      <c r="AF196" s="9">
        <v>0.15</v>
      </c>
      <c r="AG196" s="9">
        <v>0.1</v>
      </c>
      <c r="AH196" s="9">
        <v>0.11</v>
      </c>
      <c r="AI196" s="9">
        <v>0.12</v>
      </c>
      <c r="AJ196" s="9">
        <v>0.16</v>
      </c>
      <c r="AK196" s="9">
        <v>0.12</v>
      </c>
      <c r="AL196" s="9">
        <v>0.17</v>
      </c>
      <c r="AM196" s="9">
        <v>0.14000000000000001</v>
      </c>
      <c r="AN196" s="9">
        <v>0.05</v>
      </c>
      <c r="AO196" s="9">
        <v>0.15</v>
      </c>
      <c r="AP196" s="9">
        <v>0.05</v>
      </c>
      <c r="AQ196" s="9">
        <v>0.1</v>
      </c>
      <c r="AR196" s="9">
        <v>0.16</v>
      </c>
      <c r="AS196" s="9">
        <v>0.11</v>
      </c>
      <c r="AT196" s="9">
        <v>7.0000000000000007E-2</v>
      </c>
      <c r="AU196" s="9">
        <v>0.16</v>
      </c>
      <c r="AV196" s="9">
        <v>0.15</v>
      </c>
      <c r="AW196" s="9">
        <v>0.12</v>
      </c>
      <c r="AX196" s="9">
        <v>0.14000000000000001</v>
      </c>
      <c r="AY196" s="9">
        <v>0.19</v>
      </c>
      <c r="AZ196" s="9">
        <v>0.1</v>
      </c>
      <c r="BA196" s="9">
        <v>0.13</v>
      </c>
      <c r="BB196" s="9">
        <v>0.11</v>
      </c>
      <c r="BC196" s="9">
        <v>0.15</v>
      </c>
      <c r="BD196" s="9">
        <v>0.13</v>
      </c>
      <c r="BE196" s="9">
        <v>0.11</v>
      </c>
      <c r="BF196" s="9">
        <v>0.11</v>
      </c>
      <c r="BG196" s="9">
        <v>0.1</v>
      </c>
      <c r="BH196" s="9">
        <v>0.09</v>
      </c>
      <c r="BI196" s="9">
        <v>0.09</v>
      </c>
      <c r="BJ196" s="9">
        <v>0.2</v>
      </c>
      <c r="BK196" s="9">
        <v>0.1</v>
      </c>
      <c r="BL196" s="9">
        <v>0.13</v>
      </c>
      <c r="BM196" s="9">
        <v>0.12</v>
      </c>
      <c r="BN196" s="9">
        <v>7.0000000000000007E-2</v>
      </c>
      <c r="BO196" s="9">
        <v>0.15</v>
      </c>
      <c r="BP196" s="9">
        <v>0.13</v>
      </c>
      <c r="BQ196" s="9">
        <v>7.0000000000000007E-2</v>
      </c>
      <c r="BR196" s="9">
        <v>0.15</v>
      </c>
      <c r="BS196" s="9">
        <v>0.12</v>
      </c>
      <c r="BT196" s="9">
        <v>0.11</v>
      </c>
      <c r="BU196" s="9">
        <v>0.08</v>
      </c>
      <c r="BV196" s="9">
        <v>0.11</v>
      </c>
      <c r="BW196" s="9">
        <v>0.11</v>
      </c>
      <c r="BX196" s="9">
        <v>0.15</v>
      </c>
      <c r="BY196" s="9">
        <v>0.09</v>
      </c>
      <c r="BZ196" s="9">
        <v>0.08</v>
      </c>
      <c r="CA196" s="9">
        <v>0.1</v>
      </c>
      <c r="CB196" s="9">
        <v>0.11</v>
      </c>
      <c r="CC196" s="9">
        <v>0.06</v>
      </c>
      <c r="CD196" s="9">
        <v>0.1</v>
      </c>
      <c r="CE196" s="9">
        <v>0.1</v>
      </c>
      <c r="CF196" s="9">
        <v>0.1</v>
      </c>
      <c r="CG196" s="9">
        <v>0.17</v>
      </c>
      <c r="CH196" s="9">
        <v>0.11</v>
      </c>
      <c r="CI196" s="9">
        <v>0.12</v>
      </c>
      <c r="CJ196" s="9">
        <v>0.15</v>
      </c>
      <c r="CK196" s="9">
        <v>0.12</v>
      </c>
      <c r="CL196" s="9">
        <v>0.14000000000000001</v>
      </c>
      <c r="CM196" s="9">
        <v>0.14000000000000001</v>
      </c>
      <c r="CN196" s="9">
        <v>0.12</v>
      </c>
      <c r="CO196" s="9">
        <v>0.08</v>
      </c>
      <c r="CP196" s="9">
        <v>0.09</v>
      </c>
      <c r="CQ196" s="9">
        <v>0.1</v>
      </c>
      <c r="CR196" s="9">
        <v>0.08</v>
      </c>
      <c r="CS196" s="9">
        <v>0.1</v>
      </c>
      <c r="CT196" s="9">
        <v>0.11</v>
      </c>
      <c r="CU196" s="9">
        <v>0.14000000000000001</v>
      </c>
      <c r="CV196" s="9">
        <v>0.08</v>
      </c>
      <c r="CW196" s="9">
        <v>0.16</v>
      </c>
      <c r="CX196" s="9">
        <v>0.17</v>
      </c>
      <c r="CY196" s="9">
        <v>0.19</v>
      </c>
    </row>
    <row r="197" spans="1:103" ht="13">
      <c r="A197" s="1"/>
      <c r="B197" s="17"/>
      <c r="C197" s="32">
        <v>1000</v>
      </c>
      <c r="D197" s="9">
        <v>0.11</v>
      </c>
      <c r="E197" s="9">
        <v>0.107</v>
      </c>
      <c r="F197" s="9">
        <v>0.124</v>
      </c>
      <c r="G197" s="9">
        <v>0.121</v>
      </c>
      <c r="H197" s="9">
        <v>0.11700000000000001</v>
      </c>
      <c r="I197" s="9">
        <v>0.122</v>
      </c>
      <c r="J197" s="9">
        <v>0.126</v>
      </c>
      <c r="K197" s="9">
        <v>0.11</v>
      </c>
      <c r="L197" s="9">
        <v>0.113</v>
      </c>
      <c r="M197" s="9">
        <v>0.11799999999999999</v>
      </c>
      <c r="N197" s="9">
        <v>0.13500000000000001</v>
      </c>
      <c r="O197" s="9">
        <v>0.11600000000000001</v>
      </c>
      <c r="P197" s="9">
        <v>0.13500000000000001</v>
      </c>
      <c r="Q197" s="9">
        <v>0.124</v>
      </c>
      <c r="R197" s="9">
        <v>0.11600000000000001</v>
      </c>
      <c r="S197" s="9">
        <v>0.14000000000000001</v>
      </c>
      <c r="T197" s="9">
        <v>0.13200000000000001</v>
      </c>
      <c r="U197" s="9">
        <v>0.11700000000000001</v>
      </c>
      <c r="V197" s="9">
        <v>0.11899999999999999</v>
      </c>
      <c r="W197" s="9">
        <v>0.11899999999999999</v>
      </c>
      <c r="X197" s="9">
        <v>0.121</v>
      </c>
      <c r="Y197" s="9">
        <v>0.114</v>
      </c>
      <c r="Z197" s="9">
        <v>0.11899999999999999</v>
      </c>
      <c r="AA197" s="9">
        <v>0.113</v>
      </c>
      <c r="AB197" s="9">
        <v>0.12</v>
      </c>
      <c r="AC197" s="9">
        <v>0.11799999999999999</v>
      </c>
      <c r="AD197" s="9">
        <v>0.13900000000000001</v>
      </c>
      <c r="AE197" s="9">
        <v>0.122</v>
      </c>
      <c r="AF197" s="9">
        <v>0.11899999999999999</v>
      </c>
      <c r="AG197" s="9">
        <v>0.129</v>
      </c>
      <c r="AH197" s="9">
        <v>0.123</v>
      </c>
      <c r="AI197" s="9">
        <v>0.11799999999999999</v>
      </c>
      <c r="AJ197" s="9">
        <v>0.121</v>
      </c>
      <c r="AK197" s="9">
        <v>0.121</v>
      </c>
      <c r="AL197" s="9">
        <v>0.112</v>
      </c>
      <c r="AM197" s="9">
        <v>0.11</v>
      </c>
      <c r="AN197" s="9">
        <v>0.113</v>
      </c>
      <c r="AO197" s="9">
        <v>0.115</v>
      </c>
      <c r="AP197" s="9">
        <v>0.124</v>
      </c>
      <c r="AQ197" s="9">
        <v>0.123</v>
      </c>
      <c r="AR197" s="9">
        <v>0.12</v>
      </c>
      <c r="AS197" s="9">
        <v>0.12</v>
      </c>
      <c r="AT197" s="9">
        <v>0.13</v>
      </c>
      <c r="AU197" s="9">
        <v>0.125</v>
      </c>
      <c r="AV197" s="9">
        <v>0.126</v>
      </c>
      <c r="AW197" s="9">
        <v>0.11</v>
      </c>
      <c r="AX197" s="9">
        <v>0.13700000000000001</v>
      </c>
      <c r="AY197" s="9">
        <v>0.11700000000000001</v>
      </c>
      <c r="AZ197" s="9">
        <v>0.12</v>
      </c>
      <c r="BA197" s="9">
        <v>0.122</v>
      </c>
      <c r="BB197" s="9">
        <v>0.123</v>
      </c>
      <c r="BC197" s="9">
        <v>0.14299999999999999</v>
      </c>
      <c r="BD197" s="9">
        <v>0.122</v>
      </c>
      <c r="BE197" s="9">
        <v>0.113</v>
      </c>
      <c r="BF197" s="9">
        <v>0.14199999999999999</v>
      </c>
      <c r="BG197" s="9">
        <v>0.13</v>
      </c>
      <c r="BH197" s="9">
        <v>0.107</v>
      </c>
      <c r="BI197" s="9">
        <v>0.127</v>
      </c>
      <c r="BJ197" s="9">
        <v>0.11700000000000001</v>
      </c>
      <c r="BK197" s="9">
        <v>9.9000000000000005E-2</v>
      </c>
      <c r="BL197" s="9">
        <v>0.10199999999999999</v>
      </c>
      <c r="BM197" s="9">
        <v>0.121</v>
      </c>
      <c r="BN197" s="9">
        <v>0.122</v>
      </c>
      <c r="BO197" s="9">
        <v>0.11899999999999999</v>
      </c>
      <c r="BP197" s="9">
        <v>0.121</v>
      </c>
      <c r="BQ197" s="9">
        <v>0.121</v>
      </c>
      <c r="BR197" s="9">
        <v>0.125</v>
      </c>
      <c r="BS197" s="9">
        <v>0.115</v>
      </c>
      <c r="BT197" s="9">
        <v>0.115</v>
      </c>
      <c r="BU197" s="9">
        <v>0.115</v>
      </c>
      <c r="BV197" s="9">
        <v>0.128</v>
      </c>
      <c r="BW197" s="9">
        <v>0.127</v>
      </c>
      <c r="BX197" s="9">
        <v>0.13100000000000001</v>
      </c>
      <c r="BY197" s="9">
        <v>0.106</v>
      </c>
      <c r="BZ197" s="9">
        <v>0.11799999999999999</v>
      </c>
      <c r="CA197" s="9">
        <v>0.112</v>
      </c>
      <c r="CB197" s="9">
        <v>0.105</v>
      </c>
      <c r="CC197" s="9">
        <v>0.13100000000000001</v>
      </c>
      <c r="CD197" s="9">
        <v>0.11700000000000001</v>
      </c>
      <c r="CE197" s="9">
        <v>0.106</v>
      </c>
      <c r="CF197" s="9">
        <v>0.124</v>
      </c>
      <c r="CG197" s="9">
        <v>0.11899999999999999</v>
      </c>
      <c r="CH197" s="9">
        <v>0.121</v>
      </c>
      <c r="CI197" s="9">
        <v>0.13500000000000001</v>
      </c>
      <c r="CJ197" s="9">
        <v>0.111</v>
      </c>
      <c r="CK197" s="9">
        <v>0.13</v>
      </c>
      <c r="CL197" s="9">
        <v>0.11</v>
      </c>
      <c r="CM197" s="9">
        <v>0.104</v>
      </c>
      <c r="CN197" s="9">
        <v>0.14899999999999999</v>
      </c>
      <c r="CO197" s="9">
        <v>0.121</v>
      </c>
      <c r="CP197" s="9">
        <v>0.113</v>
      </c>
      <c r="CQ197" s="9">
        <v>0.122</v>
      </c>
      <c r="CR197" s="9">
        <v>0.14000000000000001</v>
      </c>
      <c r="CS197" s="9">
        <v>0.11600000000000001</v>
      </c>
      <c r="CT197" s="9">
        <v>0.13700000000000001</v>
      </c>
      <c r="CU197" s="9">
        <v>0.104</v>
      </c>
      <c r="CV197" s="9">
        <v>0.115</v>
      </c>
      <c r="CW197" s="9">
        <v>0.11799999999999999</v>
      </c>
      <c r="CX197" s="9">
        <v>0.121</v>
      </c>
      <c r="CY197" s="9">
        <v>0.107</v>
      </c>
    </row>
    <row r="198" spans="1:103" ht="13">
      <c r="A198" s="1"/>
      <c r="B198" s="17"/>
      <c r="C198" s="32">
        <v>10000</v>
      </c>
      <c r="D198" s="9">
        <v>0.11990000000000001</v>
      </c>
      <c r="E198" s="9">
        <v>0.1164</v>
      </c>
      <c r="F198" s="9">
        <v>0.125</v>
      </c>
      <c r="G198" s="9">
        <v>0.1242</v>
      </c>
      <c r="H198" s="9">
        <v>0.11849999999999999</v>
      </c>
      <c r="I198" s="9">
        <v>0.1221</v>
      </c>
      <c r="J198" s="9">
        <v>0.1225</v>
      </c>
      <c r="K198" s="9">
        <v>0.12330000000000001</v>
      </c>
      <c r="L198" s="9">
        <v>0.1245</v>
      </c>
      <c r="M198" s="9">
        <v>0.1182</v>
      </c>
      <c r="N198" s="9">
        <v>0.1217</v>
      </c>
      <c r="O198" s="9">
        <v>0.11509999999999999</v>
      </c>
      <c r="P198" s="9">
        <v>0.1202</v>
      </c>
      <c r="Q198" s="9">
        <v>0.1195</v>
      </c>
      <c r="R198" s="9">
        <v>0.1171</v>
      </c>
      <c r="S198" s="9">
        <v>0.1263</v>
      </c>
      <c r="T198" s="9">
        <v>0.1208</v>
      </c>
      <c r="U198" s="9">
        <v>0.12180000000000001</v>
      </c>
      <c r="V198" s="9">
        <v>0.1197</v>
      </c>
      <c r="W198" s="9">
        <v>0.1211</v>
      </c>
      <c r="X198" s="9">
        <v>0.1265</v>
      </c>
      <c r="Y198" s="9">
        <v>0.1239</v>
      </c>
      <c r="Z198" s="9">
        <v>0.1232</v>
      </c>
      <c r="AA198" s="9">
        <v>0.1157</v>
      </c>
      <c r="AB198" s="9">
        <v>0.12280000000000001</v>
      </c>
      <c r="AC198" s="9">
        <v>0.12039999999999999</v>
      </c>
      <c r="AD198" s="9">
        <v>0.1186</v>
      </c>
      <c r="AE198" s="9">
        <v>0.1145</v>
      </c>
      <c r="AF198" s="9">
        <v>0.1237</v>
      </c>
      <c r="AG198" s="9">
        <v>0.1206</v>
      </c>
      <c r="AH198" s="9">
        <v>0.1203</v>
      </c>
      <c r="AI198" s="9">
        <v>0.1197</v>
      </c>
      <c r="AJ198" s="9">
        <v>0.1191</v>
      </c>
      <c r="AK198" s="9">
        <v>0.12379999999999999</v>
      </c>
      <c r="AL198" s="9">
        <v>0.11890000000000001</v>
      </c>
      <c r="AM198" s="9">
        <v>0.1201</v>
      </c>
      <c r="AN198" s="9">
        <v>0.1163</v>
      </c>
      <c r="AO198" s="9">
        <v>0.11509999999999999</v>
      </c>
      <c r="AP198" s="9">
        <v>0.12820000000000001</v>
      </c>
      <c r="AQ198" s="9">
        <v>0.1216</v>
      </c>
      <c r="AR198" s="9">
        <v>0.1176</v>
      </c>
      <c r="AS198" s="9">
        <v>0.1192</v>
      </c>
      <c r="AT198" s="9">
        <v>0.12189999999999999</v>
      </c>
      <c r="AU198" s="9">
        <v>0.1197</v>
      </c>
      <c r="AV198" s="9">
        <v>0.12130000000000001</v>
      </c>
      <c r="AW198" s="9">
        <v>0.11840000000000001</v>
      </c>
      <c r="AX198" s="9">
        <v>0.1203</v>
      </c>
      <c r="AY198" s="9">
        <v>0.1208</v>
      </c>
      <c r="AZ198" s="9">
        <v>0.1206</v>
      </c>
      <c r="BA198" s="9">
        <v>0.1192</v>
      </c>
      <c r="BB198" s="9">
        <v>0.1196</v>
      </c>
      <c r="BC198" s="9">
        <v>0.12</v>
      </c>
      <c r="BD198" s="9">
        <v>0.1176</v>
      </c>
      <c r="BE198" s="9">
        <v>0.1178</v>
      </c>
      <c r="BF198" s="9">
        <v>0.1212</v>
      </c>
      <c r="BG198" s="9">
        <v>0.1188</v>
      </c>
      <c r="BH198" s="9">
        <v>0.1188</v>
      </c>
      <c r="BI198" s="9">
        <v>0.1187</v>
      </c>
      <c r="BJ198" s="9">
        <v>0.11849999999999999</v>
      </c>
      <c r="BK198" s="9">
        <v>0.11849999999999999</v>
      </c>
      <c r="BL198" s="9">
        <v>0.12</v>
      </c>
      <c r="BM198" s="9">
        <v>0.1207</v>
      </c>
      <c r="BN198" s="9">
        <v>0.1212</v>
      </c>
      <c r="BO198" s="9">
        <v>0.1162</v>
      </c>
      <c r="BP198" s="9">
        <v>0.1166</v>
      </c>
      <c r="BQ198" s="9">
        <v>0.1231</v>
      </c>
      <c r="BR198" s="9">
        <v>0.1158</v>
      </c>
      <c r="BS198" s="9">
        <v>0.11609999999999999</v>
      </c>
      <c r="BT198" s="9">
        <v>0.1226</v>
      </c>
      <c r="BU198" s="9">
        <v>0.1147</v>
      </c>
      <c r="BV198" s="9">
        <v>0.1174</v>
      </c>
      <c r="BW198" s="9">
        <v>0.123</v>
      </c>
      <c r="BX198" s="9">
        <v>0.1206</v>
      </c>
      <c r="BY198" s="9">
        <v>0.1227</v>
      </c>
      <c r="BZ198" s="9">
        <v>0.1171</v>
      </c>
      <c r="CA198" s="9">
        <v>0.12139999999999999</v>
      </c>
      <c r="CB198" s="9">
        <v>0.1188</v>
      </c>
      <c r="CC198" s="9">
        <v>0.12139999999999999</v>
      </c>
      <c r="CD198" s="9">
        <v>0.11650000000000001</v>
      </c>
      <c r="CE198" s="9">
        <v>0.1217</v>
      </c>
      <c r="CF198" s="9">
        <v>0.1148</v>
      </c>
      <c r="CG198" s="9">
        <v>0.12139999999999999</v>
      </c>
      <c r="CH198" s="9">
        <v>0.11650000000000001</v>
      </c>
      <c r="CI198" s="9">
        <v>0.115</v>
      </c>
      <c r="CJ198" s="9">
        <v>0.1168</v>
      </c>
      <c r="CK198" s="9">
        <v>0.1207</v>
      </c>
      <c r="CL198" s="9">
        <v>0.12189999999999999</v>
      </c>
      <c r="CM198" s="9">
        <v>0.1188</v>
      </c>
      <c r="CN198" s="9">
        <v>0.12180000000000001</v>
      </c>
      <c r="CO198" s="9">
        <v>0.12559999999999999</v>
      </c>
      <c r="CP198" s="9">
        <v>0.1232</v>
      </c>
      <c r="CQ198" s="9">
        <v>0.1124</v>
      </c>
      <c r="CR198" s="9">
        <v>0.1174</v>
      </c>
      <c r="CS198" s="9">
        <v>0.1178</v>
      </c>
      <c r="CT198" s="9">
        <v>0.1212</v>
      </c>
      <c r="CU198" s="9">
        <v>0.1183</v>
      </c>
      <c r="CV198" s="9">
        <v>0.12540000000000001</v>
      </c>
      <c r="CW198" s="9">
        <v>0.1178</v>
      </c>
      <c r="CX198" s="9">
        <v>0.124</v>
      </c>
      <c r="CY198" s="9">
        <v>0.122</v>
      </c>
    </row>
    <row r="199" spans="1:103" ht="13">
      <c r="A199" s="1"/>
      <c r="B199" s="17"/>
      <c r="C199" s="32">
        <v>100000</v>
      </c>
      <c r="D199" s="9">
        <v>0.11951000000000001</v>
      </c>
      <c r="E199" s="9">
        <v>0.12161</v>
      </c>
      <c r="F199" s="9">
        <v>0.12023</v>
      </c>
      <c r="G199" s="9">
        <v>0.11905</v>
      </c>
      <c r="H199" s="9">
        <v>0.12149</v>
      </c>
      <c r="I199" s="9">
        <v>0.11939</v>
      </c>
      <c r="J199" s="9">
        <v>0.12189999999999999</v>
      </c>
      <c r="K199" s="9">
        <v>0.12051000000000001</v>
      </c>
      <c r="L199" s="9">
        <v>0.1206</v>
      </c>
      <c r="M199" s="9">
        <v>0.11983000000000001</v>
      </c>
      <c r="N199" s="9">
        <v>0.12125</v>
      </c>
      <c r="O199" s="9">
        <v>0.12075</v>
      </c>
      <c r="P199" s="9">
        <v>0.11982</v>
      </c>
      <c r="Q199" s="9">
        <v>0.12083000000000001</v>
      </c>
      <c r="R199" s="9">
        <v>0.12012</v>
      </c>
      <c r="S199" s="9">
        <v>0.12039</v>
      </c>
      <c r="T199" s="9">
        <v>0.11944</v>
      </c>
      <c r="U199" s="9">
        <v>0.12092</v>
      </c>
      <c r="V199" s="9">
        <v>0.12088</v>
      </c>
      <c r="W199" s="9">
        <v>0.11931</v>
      </c>
      <c r="X199" s="9">
        <v>0.12106</v>
      </c>
      <c r="Y199" s="9">
        <v>0.12212000000000001</v>
      </c>
      <c r="Z199" s="9">
        <v>0.12005</v>
      </c>
      <c r="AA199" s="9">
        <v>0.12010999999999999</v>
      </c>
      <c r="AB199" s="9">
        <v>0.12177</v>
      </c>
      <c r="AC199" s="9">
        <v>0.12139999999999999</v>
      </c>
      <c r="AD199" s="9">
        <v>0.12064999999999999</v>
      </c>
      <c r="AE199" s="9">
        <v>0.12114</v>
      </c>
      <c r="AF199" s="9">
        <v>0.12062</v>
      </c>
      <c r="AG199" s="9">
        <v>0.12053</v>
      </c>
      <c r="AH199" s="9">
        <v>0.12027</v>
      </c>
      <c r="AI199" s="9">
        <v>0.12064</v>
      </c>
      <c r="AJ199" s="9">
        <v>0.12205000000000001</v>
      </c>
      <c r="AK199" s="9">
        <v>0.12180000000000001</v>
      </c>
      <c r="AL199" s="9">
        <v>0.12053999999999999</v>
      </c>
      <c r="AM199" s="9">
        <v>0.11942999999999999</v>
      </c>
      <c r="AN199" s="9">
        <v>0.1193</v>
      </c>
      <c r="AO199" s="9">
        <v>0.12046</v>
      </c>
      <c r="AP199" s="9">
        <v>0.12128</v>
      </c>
      <c r="AQ199" s="9">
        <v>0.12167</v>
      </c>
      <c r="AR199" s="9">
        <v>0.12063</v>
      </c>
      <c r="AS199" s="9">
        <v>0.12048</v>
      </c>
      <c r="AT199" s="9">
        <v>0.12139</v>
      </c>
      <c r="AU199" s="9">
        <v>0.12010999999999999</v>
      </c>
      <c r="AV199" s="9">
        <v>0.12132999999999999</v>
      </c>
      <c r="AW199" s="9">
        <v>0.12086</v>
      </c>
      <c r="AX199" s="9">
        <v>0.11951000000000001</v>
      </c>
      <c r="AY199" s="9">
        <v>0.12127</v>
      </c>
      <c r="AZ199" s="9">
        <v>0.11956</v>
      </c>
      <c r="BA199" s="9">
        <v>0.12098</v>
      </c>
      <c r="BB199" s="9">
        <v>0.12148</v>
      </c>
      <c r="BC199" s="9">
        <v>0.12116</v>
      </c>
      <c r="BD199" s="9">
        <v>0.1205</v>
      </c>
      <c r="BE199" s="9">
        <v>0.11960999999999999</v>
      </c>
      <c r="BF199" s="9">
        <v>0.12119000000000001</v>
      </c>
      <c r="BG199" s="9">
        <v>0.11994</v>
      </c>
      <c r="BH199" s="9">
        <v>0.12205000000000001</v>
      </c>
      <c r="BI199" s="9">
        <v>0.12069000000000001</v>
      </c>
      <c r="BJ199" s="9">
        <v>0.12002</v>
      </c>
      <c r="BK199" s="9">
        <v>0.11963</v>
      </c>
      <c r="BL199" s="9">
        <v>0.12243999999999999</v>
      </c>
      <c r="BM199" s="9">
        <v>0.11896</v>
      </c>
      <c r="BN199" s="9">
        <v>0.12168</v>
      </c>
      <c r="BO199" s="9">
        <v>0.12135</v>
      </c>
      <c r="BP199" s="9">
        <v>0.11801</v>
      </c>
      <c r="BQ199" s="9">
        <v>0.12098</v>
      </c>
      <c r="BR199" s="9">
        <v>0.12052</v>
      </c>
      <c r="BS199" s="9">
        <v>0.12146</v>
      </c>
      <c r="BT199" s="9">
        <v>0.11849999999999999</v>
      </c>
      <c r="BU199" s="9">
        <v>0.11917999999999999</v>
      </c>
      <c r="BV199" s="9">
        <v>0.12059</v>
      </c>
      <c r="BW199" s="9">
        <v>0.11913</v>
      </c>
      <c r="BX199" s="9">
        <v>0.12003</v>
      </c>
      <c r="BY199" s="9">
        <v>0.11792999999999999</v>
      </c>
      <c r="BZ199" s="9">
        <v>0.12028</v>
      </c>
      <c r="CA199" s="9">
        <v>0.12091</v>
      </c>
      <c r="CB199" s="9">
        <v>0.12237000000000001</v>
      </c>
      <c r="CC199" s="9">
        <v>0.12091</v>
      </c>
      <c r="CD199" s="9">
        <v>0.11989</v>
      </c>
      <c r="CE199" s="9">
        <v>0.12127</v>
      </c>
      <c r="CF199" s="9">
        <v>0.11823</v>
      </c>
      <c r="CG199" s="9">
        <v>0.12010999999999999</v>
      </c>
      <c r="CH199" s="9">
        <v>0.12063</v>
      </c>
      <c r="CI199" s="9">
        <v>0.12044000000000001</v>
      </c>
      <c r="CJ199" s="9">
        <v>0.12007</v>
      </c>
      <c r="CK199" s="9">
        <v>0.12068</v>
      </c>
      <c r="CL199" s="9">
        <v>0.11935999999999999</v>
      </c>
      <c r="CM199" s="9">
        <v>0.12074</v>
      </c>
      <c r="CN199" s="9">
        <v>0.11995</v>
      </c>
      <c r="CO199" s="9">
        <v>0.12209</v>
      </c>
      <c r="CP199" s="9">
        <v>0.12002</v>
      </c>
      <c r="CQ199" s="9">
        <v>0.11947000000000001</v>
      </c>
      <c r="CR199" s="9">
        <v>0.12032</v>
      </c>
      <c r="CS199" s="9">
        <v>0.11927</v>
      </c>
      <c r="CT199" s="9">
        <v>0.12132</v>
      </c>
      <c r="CU199" s="9">
        <v>0.12035</v>
      </c>
      <c r="CV199" s="9">
        <v>0.12254</v>
      </c>
      <c r="CW199" s="9">
        <v>0.12087000000000001</v>
      </c>
      <c r="CX199" s="9">
        <v>0.11984</v>
      </c>
      <c r="CY199" s="9">
        <v>0.12091</v>
      </c>
    </row>
    <row r="200" spans="1:103" ht="13">
      <c r="A200" s="1"/>
      <c r="B200" s="17"/>
      <c r="C200" s="32">
        <v>1000000</v>
      </c>
      <c r="D200" s="9">
        <v>0.12021800000000001</v>
      </c>
      <c r="E200" s="9">
        <v>0.12024600000000001</v>
      </c>
      <c r="F200" s="9">
        <v>0.120489</v>
      </c>
      <c r="G200" s="9">
        <v>0.12010800000000001</v>
      </c>
      <c r="H200" s="9">
        <v>0.12010700000000001</v>
      </c>
      <c r="I200" s="9">
        <v>0.12037</v>
      </c>
      <c r="J200" s="9">
        <v>0.120655</v>
      </c>
      <c r="K200" s="9">
        <v>0.12049799999999999</v>
      </c>
      <c r="L200" s="9">
        <v>0.12053700000000001</v>
      </c>
      <c r="M200" s="9">
        <v>0.12027500000000001</v>
      </c>
      <c r="N200" s="9">
        <v>0.12113</v>
      </c>
      <c r="O200" s="9">
        <v>0.120416</v>
      </c>
      <c r="P200" s="9">
        <v>0.121198</v>
      </c>
      <c r="Q200" s="9">
        <v>0.120703</v>
      </c>
      <c r="R200" s="9">
        <v>0.120866</v>
      </c>
      <c r="S200" s="9">
        <v>0.120694</v>
      </c>
      <c r="T200" s="9">
        <v>0.12020500000000001</v>
      </c>
      <c r="U200" s="9">
        <v>0.120139</v>
      </c>
      <c r="V200" s="9">
        <v>0.120866</v>
      </c>
      <c r="W200" s="9">
        <v>0.12051199999999999</v>
      </c>
      <c r="X200" s="9">
        <v>0.120536</v>
      </c>
      <c r="Y200" s="9">
        <v>0.120229</v>
      </c>
      <c r="Z200" s="9">
        <v>0.120395</v>
      </c>
      <c r="AA200" s="9">
        <v>0.120309</v>
      </c>
      <c r="AB200" s="9">
        <v>0.120763</v>
      </c>
      <c r="AC200" s="9">
        <v>0.120808</v>
      </c>
      <c r="AD200" s="9">
        <v>0.120944</v>
      </c>
      <c r="AE200" s="9">
        <v>0.121225</v>
      </c>
      <c r="AF200" s="9">
        <v>0.12078700000000001</v>
      </c>
      <c r="AG200" s="9">
        <v>0.120587</v>
      </c>
      <c r="AH200" s="9">
        <v>0.120255</v>
      </c>
      <c r="AI200" s="9">
        <v>0.12028899999999999</v>
      </c>
      <c r="AJ200" s="9">
        <v>0.120377</v>
      </c>
      <c r="AK200" s="9">
        <v>0.120569</v>
      </c>
      <c r="AL200" s="9">
        <v>0.120425</v>
      </c>
      <c r="AM200" s="9">
        <v>0.120528</v>
      </c>
      <c r="AN200" s="9">
        <v>0.12064900000000001</v>
      </c>
      <c r="AO200" s="9">
        <v>0.120353</v>
      </c>
      <c r="AP200" s="9">
        <v>0.120979</v>
      </c>
      <c r="AQ200" s="9">
        <v>0.12091399999999999</v>
      </c>
      <c r="AR200" s="9">
        <v>0.120736</v>
      </c>
      <c r="AS200" s="9">
        <v>0.120641</v>
      </c>
      <c r="AT200" s="9">
        <v>0.120606</v>
      </c>
      <c r="AU200" s="9">
        <v>0.12081600000000001</v>
      </c>
      <c r="AV200" s="9">
        <v>0.120444</v>
      </c>
      <c r="AW200" s="9">
        <v>0.120658</v>
      </c>
      <c r="AX200" s="9">
        <v>0.12084499999999999</v>
      </c>
      <c r="AY200" s="9">
        <v>0.12089999999999999</v>
      </c>
      <c r="AZ200" s="9">
        <v>0.121003</v>
      </c>
      <c r="BA200" s="9">
        <v>0.120279</v>
      </c>
      <c r="BB200" s="9">
        <v>0.120238</v>
      </c>
      <c r="BC200" s="9">
        <v>0.121403</v>
      </c>
      <c r="BD200" s="9">
        <v>0.12009599999999999</v>
      </c>
      <c r="BE200" s="9">
        <v>0.120696</v>
      </c>
      <c r="BF200" s="9">
        <v>0.12024600000000001</v>
      </c>
      <c r="BG200" s="9">
        <v>0.120616</v>
      </c>
      <c r="BH200" s="9">
        <v>0.120799</v>
      </c>
      <c r="BI200" s="9">
        <v>0.12057</v>
      </c>
      <c r="BJ200" s="9">
        <v>0.120489</v>
      </c>
      <c r="BK200" s="9">
        <v>0.120405</v>
      </c>
      <c r="BL200" s="9">
        <v>0.12033000000000001</v>
      </c>
      <c r="BM200" s="9">
        <v>0.12038500000000001</v>
      </c>
      <c r="BN200" s="9">
        <v>0.120641</v>
      </c>
      <c r="BO200" s="9">
        <v>0.120446</v>
      </c>
      <c r="BP200" s="9">
        <v>0.12044199999999999</v>
      </c>
      <c r="BQ200" s="9">
        <v>0.120869</v>
      </c>
      <c r="BR200" s="9">
        <v>0.120495</v>
      </c>
      <c r="BS200" s="9">
        <v>0.12069100000000001</v>
      </c>
      <c r="BT200" s="9">
        <v>0.120321</v>
      </c>
      <c r="BU200" s="9">
        <v>0.120729</v>
      </c>
      <c r="BV200" s="9">
        <v>0.12034300000000001</v>
      </c>
      <c r="BW200" s="9">
        <v>0.120827</v>
      </c>
      <c r="BX200" s="9">
        <v>0.120449</v>
      </c>
      <c r="BY200" s="9">
        <v>0.12031600000000001</v>
      </c>
      <c r="BZ200" s="9">
        <v>0.12024</v>
      </c>
      <c r="CA200" s="9">
        <v>0.120823</v>
      </c>
      <c r="CB200" s="9">
        <v>0.120375</v>
      </c>
      <c r="CC200" s="9">
        <v>0.12056600000000001</v>
      </c>
      <c r="CD200" s="9">
        <v>0.120605</v>
      </c>
      <c r="CE200" s="9">
        <v>0.120842</v>
      </c>
      <c r="CF200" s="9">
        <v>0.12085799999999999</v>
      </c>
      <c r="CG200" s="9">
        <v>0.120632</v>
      </c>
      <c r="CH200" s="9">
        <v>0.120867</v>
      </c>
      <c r="CI200" s="9">
        <v>0.121015</v>
      </c>
      <c r="CJ200" s="9">
        <v>0.12099799999999999</v>
      </c>
      <c r="CK200" s="9">
        <v>0.120269</v>
      </c>
      <c r="CL200" s="9">
        <v>0.12107</v>
      </c>
      <c r="CM200" s="9">
        <v>0.120377</v>
      </c>
      <c r="CN200" s="9">
        <v>0.120481</v>
      </c>
      <c r="CO200" s="9">
        <v>0.120514</v>
      </c>
      <c r="CP200" s="9">
        <v>0.120518</v>
      </c>
      <c r="CQ200" s="9">
        <v>0.120891</v>
      </c>
      <c r="CR200" s="9">
        <v>0.120083</v>
      </c>
      <c r="CS200" s="9">
        <v>0.12024799999999999</v>
      </c>
      <c r="CT200" s="9">
        <v>0.12058099999999999</v>
      </c>
      <c r="CU200" s="9">
        <v>0.12094199999999999</v>
      </c>
      <c r="CV200" s="9">
        <v>0.120683</v>
      </c>
      <c r="CW200" s="9">
        <v>0.121069</v>
      </c>
      <c r="CX200" s="9">
        <v>0.12059400000000001</v>
      </c>
      <c r="CY200" s="9">
        <v>0.12039900000000001</v>
      </c>
    </row>
    <row r="201" spans="1:103" ht="13">
      <c r="A201" s="1"/>
      <c r="B201" s="17"/>
      <c r="C201" s="24"/>
      <c r="D201" s="17"/>
      <c r="E201" s="17"/>
      <c r="F201" s="17"/>
      <c r="G201" s="17"/>
      <c r="H201" s="2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</row>
    <row r="202" spans="1:103" ht="13">
      <c r="A202" s="1"/>
      <c r="B202" s="46" t="s">
        <v>46</v>
      </c>
      <c r="D202" s="17"/>
      <c r="E202" s="17"/>
      <c r="F202" s="17"/>
      <c r="G202" s="17"/>
      <c r="H202" s="2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</row>
    <row r="203" spans="1:103" ht="13">
      <c r="A203" s="1"/>
      <c r="B203" s="17"/>
      <c r="C203" s="32" t="s">
        <v>16</v>
      </c>
      <c r="D203" s="29">
        <v>1</v>
      </c>
      <c r="E203" s="29">
        <v>2</v>
      </c>
      <c r="F203" s="29">
        <v>3</v>
      </c>
      <c r="G203" s="29">
        <v>4</v>
      </c>
      <c r="H203" s="29">
        <v>5</v>
      </c>
      <c r="I203" s="30">
        <v>6</v>
      </c>
      <c r="J203" s="30">
        <v>7</v>
      </c>
      <c r="K203" s="30">
        <v>8</v>
      </c>
      <c r="L203" s="30">
        <v>9</v>
      </c>
      <c r="M203" s="30">
        <v>10</v>
      </c>
      <c r="N203" s="30">
        <v>11</v>
      </c>
      <c r="O203" s="29">
        <v>12</v>
      </c>
      <c r="P203" s="29">
        <v>13</v>
      </c>
      <c r="Q203" s="29">
        <v>14</v>
      </c>
      <c r="R203" s="29">
        <v>15</v>
      </c>
      <c r="S203" s="29">
        <v>16</v>
      </c>
      <c r="T203" s="29">
        <v>17</v>
      </c>
      <c r="U203" s="29">
        <v>18</v>
      </c>
      <c r="V203" s="29">
        <v>19</v>
      </c>
      <c r="W203" s="29">
        <v>20</v>
      </c>
      <c r="X203" s="29">
        <v>21</v>
      </c>
      <c r="Y203" s="29">
        <v>22</v>
      </c>
      <c r="Z203" s="29">
        <v>23</v>
      </c>
      <c r="AA203" s="29">
        <v>24</v>
      </c>
      <c r="AB203" s="29">
        <v>25</v>
      </c>
      <c r="AC203" s="29">
        <v>26</v>
      </c>
      <c r="AD203" s="29">
        <v>27</v>
      </c>
      <c r="AE203" s="29">
        <v>28</v>
      </c>
      <c r="AF203" s="29">
        <v>29</v>
      </c>
      <c r="AG203" s="29">
        <v>30</v>
      </c>
      <c r="AH203" s="29">
        <v>31</v>
      </c>
      <c r="AI203" s="29">
        <v>32</v>
      </c>
      <c r="AJ203" s="29">
        <v>33</v>
      </c>
      <c r="AK203" s="29">
        <v>34</v>
      </c>
      <c r="AL203" s="29">
        <v>35</v>
      </c>
      <c r="AM203" s="29">
        <v>36</v>
      </c>
      <c r="AN203" s="29">
        <v>37</v>
      </c>
      <c r="AO203" s="29">
        <v>38</v>
      </c>
      <c r="AP203" s="29">
        <v>39</v>
      </c>
      <c r="AQ203" s="29">
        <v>40</v>
      </c>
      <c r="AR203" s="29">
        <v>41</v>
      </c>
      <c r="AS203" s="29">
        <v>42</v>
      </c>
      <c r="AT203" s="29">
        <v>43</v>
      </c>
      <c r="AU203" s="29">
        <v>44</v>
      </c>
      <c r="AV203" s="29">
        <v>45</v>
      </c>
      <c r="AW203" s="29">
        <v>46</v>
      </c>
      <c r="AX203" s="29">
        <v>47</v>
      </c>
      <c r="AY203" s="29">
        <v>48</v>
      </c>
      <c r="AZ203" s="29">
        <v>49</v>
      </c>
      <c r="BA203" s="29">
        <v>50</v>
      </c>
      <c r="BB203" s="29">
        <v>51</v>
      </c>
      <c r="BC203" s="29">
        <v>52</v>
      </c>
      <c r="BD203" s="29">
        <v>53</v>
      </c>
      <c r="BE203" s="29">
        <v>54</v>
      </c>
      <c r="BF203" s="29">
        <v>55</v>
      </c>
      <c r="BG203" s="29">
        <v>56</v>
      </c>
      <c r="BH203" s="29">
        <v>57</v>
      </c>
      <c r="BI203" s="29">
        <v>58</v>
      </c>
      <c r="BJ203" s="29">
        <v>59</v>
      </c>
      <c r="BK203" s="29">
        <v>60</v>
      </c>
      <c r="BL203" s="29">
        <v>61</v>
      </c>
      <c r="BM203" s="29">
        <v>62</v>
      </c>
      <c r="BN203" s="29">
        <v>63</v>
      </c>
      <c r="BO203" s="29">
        <v>64</v>
      </c>
      <c r="BP203" s="29">
        <v>65</v>
      </c>
      <c r="BQ203" s="29">
        <v>66</v>
      </c>
      <c r="BR203" s="29">
        <v>67</v>
      </c>
      <c r="BS203" s="29">
        <v>68</v>
      </c>
      <c r="BT203" s="29">
        <v>69</v>
      </c>
      <c r="BU203" s="29">
        <v>70</v>
      </c>
      <c r="BV203" s="29">
        <v>71</v>
      </c>
      <c r="BW203" s="29">
        <v>72</v>
      </c>
      <c r="BX203" s="29">
        <v>73</v>
      </c>
      <c r="BY203" s="29">
        <v>74</v>
      </c>
      <c r="BZ203" s="29">
        <v>75</v>
      </c>
      <c r="CA203" s="29">
        <v>76</v>
      </c>
      <c r="CB203" s="29">
        <v>77</v>
      </c>
      <c r="CC203" s="29">
        <v>78</v>
      </c>
      <c r="CD203" s="29">
        <v>79</v>
      </c>
      <c r="CE203" s="29">
        <v>80</v>
      </c>
      <c r="CF203" s="29">
        <v>81</v>
      </c>
      <c r="CG203" s="29">
        <v>82</v>
      </c>
      <c r="CH203" s="29">
        <v>83</v>
      </c>
      <c r="CI203" s="29">
        <v>84</v>
      </c>
      <c r="CJ203" s="29">
        <v>85</v>
      </c>
      <c r="CK203" s="29">
        <v>86</v>
      </c>
      <c r="CL203" s="29">
        <v>87</v>
      </c>
      <c r="CM203" s="29">
        <v>88</v>
      </c>
      <c r="CN203" s="29">
        <v>89</v>
      </c>
      <c r="CO203" s="29">
        <v>90</v>
      </c>
      <c r="CP203" s="29">
        <v>91</v>
      </c>
      <c r="CQ203" s="29">
        <v>92</v>
      </c>
      <c r="CR203" s="29">
        <v>93</v>
      </c>
      <c r="CS203" s="29">
        <v>94</v>
      </c>
      <c r="CT203" s="29">
        <v>95</v>
      </c>
      <c r="CU203" s="29">
        <v>96</v>
      </c>
      <c r="CV203" s="29">
        <v>97</v>
      </c>
      <c r="CW203" s="29">
        <v>98</v>
      </c>
      <c r="CX203" s="29">
        <v>99</v>
      </c>
      <c r="CY203" s="29">
        <v>100</v>
      </c>
    </row>
    <row r="204" spans="1:103" ht="13">
      <c r="A204" s="1"/>
      <c r="B204" s="17"/>
      <c r="C204" s="31" t="s">
        <v>17</v>
      </c>
      <c r="D204" s="17"/>
      <c r="E204" s="17"/>
      <c r="F204" s="17"/>
      <c r="G204" s="17"/>
      <c r="H204" s="17"/>
      <c r="I204" s="21"/>
      <c r="J204" s="21"/>
      <c r="K204" s="21"/>
      <c r="L204" s="21"/>
      <c r="M204" s="21"/>
      <c r="N204" s="21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</row>
    <row r="205" spans="1:103" ht="13">
      <c r="A205" s="1"/>
      <c r="B205" s="17"/>
      <c r="C205" s="32">
        <v>10</v>
      </c>
      <c r="D205" s="9">
        <v>0.27</v>
      </c>
      <c r="E205" s="9">
        <v>0.16500000000000001</v>
      </c>
      <c r="F205" s="9">
        <v>0.03</v>
      </c>
      <c r="G205" s="9">
        <v>0.18</v>
      </c>
      <c r="H205" s="9">
        <v>0.13500000000000001</v>
      </c>
      <c r="I205" s="9">
        <v>0.09</v>
      </c>
      <c r="J205" s="9">
        <v>7.4999999999999997E-2</v>
      </c>
      <c r="K205" s="9">
        <v>0.12</v>
      </c>
      <c r="L205" s="9">
        <v>7.4999999999999997E-2</v>
      </c>
      <c r="M205" s="9">
        <v>0.13500000000000001</v>
      </c>
      <c r="N205" s="9">
        <v>0.21</v>
      </c>
      <c r="O205" s="9">
        <v>0.105</v>
      </c>
      <c r="P205" s="9">
        <v>0.13500000000000001</v>
      </c>
      <c r="Q205" s="9">
        <v>0.21</v>
      </c>
      <c r="R205" s="9">
        <v>0.435</v>
      </c>
      <c r="S205" s="9">
        <v>4.4999999999999998E-2</v>
      </c>
      <c r="T205" s="9">
        <v>1.4999999999999999E-2</v>
      </c>
      <c r="U205" s="9">
        <v>0.09</v>
      </c>
      <c r="V205" s="9">
        <v>0.28499999999999998</v>
      </c>
      <c r="W205" s="9">
        <v>7.4999999999999997E-2</v>
      </c>
      <c r="X205" s="9">
        <v>0.19500000000000001</v>
      </c>
      <c r="Y205" s="9">
        <v>7.4999999999999997E-2</v>
      </c>
      <c r="Z205" s="9">
        <v>0.24</v>
      </c>
      <c r="AA205" s="9">
        <v>0.13500000000000001</v>
      </c>
      <c r="AB205" s="9">
        <v>0.255</v>
      </c>
      <c r="AC205" s="9">
        <v>0.03</v>
      </c>
      <c r="AD205" s="9">
        <v>0.12</v>
      </c>
      <c r="AE205" s="9">
        <v>0.09</v>
      </c>
      <c r="AF205" s="9">
        <v>1.4999999999999999E-2</v>
      </c>
      <c r="AG205" s="9">
        <v>0.105</v>
      </c>
      <c r="AH205" s="9">
        <v>0.12</v>
      </c>
      <c r="AI205" s="9">
        <v>4.4999999999999998E-2</v>
      </c>
      <c r="AJ205" s="9">
        <v>0.21</v>
      </c>
      <c r="AK205" s="9">
        <v>7.4999999999999997E-2</v>
      </c>
      <c r="AL205" s="9">
        <v>0.105</v>
      </c>
      <c r="AM205" s="9">
        <v>0.16500000000000001</v>
      </c>
      <c r="AN205" s="9">
        <v>0.19500000000000001</v>
      </c>
      <c r="AO205" s="9">
        <v>0.105</v>
      </c>
      <c r="AP205" s="9">
        <v>0.03</v>
      </c>
      <c r="AQ205" s="9">
        <v>0.12</v>
      </c>
      <c r="AR205" s="9">
        <v>0.105</v>
      </c>
      <c r="AS205" s="9">
        <v>4.4999999999999998E-2</v>
      </c>
      <c r="AT205" s="9">
        <v>0</v>
      </c>
      <c r="AU205" s="9">
        <v>0.255</v>
      </c>
      <c r="AV205" s="9">
        <v>7.4999999999999997E-2</v>
      </c>
      <c r="AW205" s="9">
        <v>0.13500000000000001</v>
      </c>
      <c r="AX205" s="9">
        <v>0.105</v>
      </c>
      <c r="AY205" s="9">
        <v>4.4999999999999998E-2</v>
      </c>
      <c r="AZ205" s="9">
        <v>0.06</v>
      </c>
      <c r="BA205" s="9">
        <v>0.06</v>
      </c>
      <c r="BB205" s="9">
        <v>0.18</v>
      </c>
      <c r="BC205" s="9">
        <v>1.4999999999999999E-2</v>
      </c>
      <c r="BD205" s="9">
        <v>0.16500000000000001</v>
      </c>
      <c r="BE205" s="9">
        <v>0.105</v>
      </c>
      <c r="BF205" s="9">
        <v>0.315</v>
      </c>
      <c r="BG205" s="9">
        <v>0.06</v>
      </c>
      <c r="BH205" s="9">
        <v>0.03</v>
      </c>
      <c r="BI205" s="9">
        <v>4.4999999999999998E-2</v>
      </c>
      <c r="BJ205" s="9">
        <v>7.4999999999999997E-2</v>
      </c>
      <c r="BK205" s="9">
        <v>0.09</v>
      </c>
      <c r="BL205" s="9">
        <v>0.15</v>
      </c>
      <c r="BM205" s="9">
        <v>0.12</v>
      </c>
      <c r="BN205" s="9">
        <v>0.105</v>
      </c>
      <c r="BO205" s="9">
        <v>0.28499999999999998</v>
      </c>
      <c r="BP205" s="9">
        <v>0.19500000000000001</v>
      </c>
      <c r="BQ205" s="9">
        <v>7.4999999999999997E-2</v>
      </c>
      <c r="BR205" s="9">
        <v>0.15</v>
      </c>
      <c r="BS205" s="9">
        <v>0.09</v>
      </c>
      <c r="BT205" s="9">
        <v>0.03</v>
      </c>
      <c r="BU205" s="9">
        <v>4.4999999999999998E-2</v>
      </c>
      <c r="BV205" s="9">
        <v>1.4999999999999999E-2</v>
      </c>
      <c r="BW205" s="9">
        <v>0.21</v>
      </c>
      <c r="BX205" s="9">
        <v>0.315</v>
      </c>
      <c r="BY205" s="9">
        <v>0.105</v>
      </c>
      <c r="BZ205" s="9">
        <v>0.06</v>
      </c>
      <c r="CA205" s="9">
        <v>0.19500000000000001</v>
      </c>
      <c r="CB205" s="9">
        <v>0.255</v>
      </c>
      <c r="CC205" s="9">
        <v>0.13500000000000001</v>
      </c>
      <c r="CD205" s="9">
        <v>7.4999999999999997E-2</v>
      </c>
      <c r="CE205" s="9">
        <v>0.16500000000000001</v>
      </c>
      <c r="CF205" s="9">
        <v>0.12</v>
      </c>
      <c r="CG205" s="9">
        <v>0.21</v>
      </c>
      <c r="CH205" s="9">
        <v>7.4999999999999997E-2</v>
      </c>
      <c r="CI205" s="9">
        <v>0.03</v>
      </c>
      <c r="CJ205" s="9">
        <v>0.09</v>
      </c>
      <c r="CK205" s="9">
        <v>0.18</v>
      </c>
      <c r="CL205" s="9">
        <v>0.315</v>
      </c>
      <c r="CM205" s="9">
        <v>0.09</v>
      </c>
      <c r="CN205" s="9">
        <v>0</v>
      </c>
      <c r="CO205" s="9">
        <v>0.09</v>
      </c>
      <c r="CP205" s="9">
        <v>4.4999999999999998E-2</v>
      </c>
      <c r="CQ205" s="9">
        <v>0.28499999999999998</v>
      </c>
      <c r="CR205" s="9">
        <v>4.4999999999999998E-2</v>
      </c>
      <c r="CS205" s="9">
        <v>0.105</v>
      </c>
      <c r="CT205" s="9">
        <v>0.27</v>
      </c>
      <c r="CU205" s="9">
        <v>0.06</v>
      </c>
      <c r="CV205" s="9">
        <v>0.06</v>
      </c>
      <c r="CW205" s="9">
        <v>0.09</v>
      </c>
      <c r="CX205" s="9">
        <v>0.09</v>
      </c>
      <c r="CY205" s="9">
        <v>7.4999999999999997E-2</v>
      </c>
    </row>
    <row r="206" spans="1:103" ht="13">
      <c r="A206" s="1"/>
      <c r="B206" s="17"/>
      <c r="C206" s="32">
        <v>100</v>
      </c>
      <c r="D206" s="9">
        <v>0.105</v>
      </c>
      <c r="E206" s="9">
        <v>9.7500000000000003E-2</v>
      </c>
      <c r="F206" s="9">
        <v>0.10050000000000001</v>
      </c>
      <c r="G206" s="9">
        <v>0.13800000000000001</v>
      </c>
      <c r="H206" s="9">
        <v>0.1125</v>
      </c>
      <c r="I206" s="9">
        <v>0.14099999999999999</v>
      </c>
      <c r="J206" s="9">
        <v>9.9000000000000005E-2</v>
      </c>
      <c r="K206" s="9">
        <v>0.1275</v>
      </c>
      <c r="L206" s="9">
        <v>9.9000000000000005E-2</v>
      </c>
      <c r="M206" s="9">
        <v>9.2999999999999999E-2</v>
      </c>
      <c r="N206" s="9">
        <v>7.9500000000000001E-2</v>
      </c>
      <c r="O206" s="9">
        <v>0.129</v>
      </c>
      <c r="P206" s="9">
        <v>0.14249999999999999</v>
      </c>
      <c r="Q206" s="9">
        <v>0.17100000000000001</v>
      </c>
      <c r="R206" s="9">
        <v>0.12</v>
      </c>
      <c r="S206" s="9">
        <v>0.17699999999999999</v>
      </c>
      <c r="T206" s="9">
        <v>0.13800000000000001</v>
      </c>
      <c r="U206" s="9">
        <v>0.153</v>
      </c>
      <c r="V206" s="9">
        <v>7.0499999999999993E-2</v>
      </c>
      <c r="W206" s="9">
        <v>0.153</v>
      </c>
      <c r="X206" s="9">
        <v>0.1065</v>
      </c>
      <c r="Y206" s="9">
        <v>0.108</v>
      </c>
      <c r="Z206" s="9">
        <v>0.13350000000000001</v>
      </c>
      <c r="AA206" s="9">
        <v>8.4000000000000005E-2</v>
      </c>
      <c r="AB206" s="9">
        <v>9.6000000000000002E-2</v>
      </c>
      <c r="AC206" s="9">
        <v>0.1305</v>
      </c>
      <c r="AD206" s="9">
        <v>8.5500000000000007E-2</v>
      </c>
      <c r="AE206" s="9">
        <v>0.16200000000000001</v>
      </c>
      <c r="AF206" s="9">
        <v>0.1095</v>
      </c>
      <c r="AG206" s="9">
        <v>0.1305</v>
      </c>
      <c r="AH206" s="9">
        <v>0.13350000000000001</v>
      </c>
      <c r="AI206" s="9">
        <v>0.153</v>
      </c>
      <c r="AJ206" s="9">
        <v>9.6000000000000002E-2</v>
      </c>
      <c r="AK206" s="9">
        <v>8.8499999999999995E-2</v>
      </c>
      <c r="AL206" s="9">
        <v>0.17399999999999999</v>
      </c>
      <c r="AM206" s="9">
        <v>0.111</v>
      </c>
      <c r="AN206" s="9">
        <v>0.126</v>
      </c>
      <c r="AO206" s="9">
        <v>0.1515</v>
      </c>
      <c r="AP206" s="9">
        <v>0.11550000000000001</v>
      </c>
      <c r="AQ206" s="9">
        <v>0.1305</v>
      </c>
      <c r="AR206" s="9">
        <v>0.11550000000000001</v>
      </c>
      <c r="AS206" s="9">
        <v>0.13950000000000001</v>
      </c>
      <c r="AT206" s="9">
        <v>0.1125</v>
      </c>
      <c r="AU206" s="9">
        <v>0.11550000000000001</v>
      </c>
      <c r="AV206" s="9">
        <v>0.1305</v>
      </c>
      <c r="AW206" s="9">
        <v>0.10050000000000001</v>
      </c>
      <c r="AX206" s="9">
        <v>9.6000000000000002E-2</v>
      </c>
      <c r="AY206" s="9">
        <v>0.111</v>
      </c>
      <c r="AZ206" s="9">
        <v>0.10050000000000001</v>
      </c>
      <c r="BA206" s="9">
        <v>0.10050000000000001</v>
      </c>
      <c r="BB206" s="9">
        <v>0.14399999999999999</v>
      </c>
      <c r="BC206" s="9">
        <v>0.126</v>
      </c>
      <c r="BD206" s="9">
        <v>0.14249999999999999</v>
      </c>
      <c r="BE206" s="9">
        <v>9.2999999999999999E-2</v>
      </c>
      <c r="BF206" s="9">
        <v>0.1065</v>
      </c>
      <c r="BG206" s="9">
        <v>0.13200000000000001</v>
      </c>
      <c r="BH206" s="9">
        <v>0.1125</v>
      </c>
      <c r="BI206" s="9">
        <v>0.11550000000000001</v>
      </c>
      <c r="BJ206" s="9">
        <v>0.126</v>
      </c>
      <c r="BK206" s="9">
        <v>0.16800000000000001</v>
      </c>
      <c r="BL206" s="9">
        <v>0.11700000000000001</v>
      </c>
      <c r="BM206" s="9">
        <v>0.153</v>
      </c>
      <c r="BN206" s="9">
        <v>0.1515</v>
      </c>
      <c r="BO206" s="9">
        <v>9.7500000000000003E-2</v>
      </c>
      <c r="BP206" s="9">
        <v>9.7500000000000003E-2</v>
      </c>
      <c r="BQ206" s="9">
        <v>7.4999999999999997E-2</v>
      </c>
      <c r="BR206" s="9">
        <v>0.11550000000000001</v>
      </c>
      <c r="BS206" s="9">
        <v>0.126</v>
      </c>
      <c r="BT206" s="9">
        <v>0.14099999999999999</v>
      </c>
      <c r="BU206" s="9">
        <v>0.111</v>
      </c>
      <c r="BV206" s="9">
        <v>9.1499999999999998E-2</v>
      </c>
      <c r="BW206" s="9">
        <v>9.6000000000000002E-2</v>
      </c>
      <c r="BX206" s="9">
        <v>0.11849999999999999</v>
      </c>
      <c r="BY206" s="9">
        <v>0.10199999999999999</v>
      </c>
      <c r="BZ206" s="9">
        <v>0.13350000000000001</v>
      </c>
      <c r="CA206" s="9">
        <v>9.7500000000000003E-2</v>
      </c>
      <c r="CB206" s="9">
        <v>8.5500000000000007E-2</v>
      </c>
      <c r="CC206" s="9">
        <v>0.13500000000000001</v>
      </c>
      <c r="CD206" s="9">
        <v>9.1499999999999998E-2</v>
      </c>
      <c r="CE206" s="9">
        <v>0.108</v>
      </c>
      <c r="CF206" s="9">
        <v>0.1305</v>
      </c>
      <c r="CG206" s="9">
        <v>0.13200000000000001</v>
      </c>
      <c r="CH206" s="9">
        <v>0.14699999999999999</v>
      </c>
      <c r="CI206" s="9">
        <v>0.13350000000000001</v>
      </c>
      <c r="CJ206" s="9">
        <v>0.1095</v>
      </c>
      <c r="CK206" s="9">
        <v>0.13950000000000001</v>
      </c>
      <c r="CL206" s="9">
        <v>0.1095</v>
      </c>
      <c r="CM206" s="9">
        <v>0.13800000000000001</v>
      </c>
      <c r="CN206" s="9">
        <v>0.14249999999999999</v>
      </c>
      <c r="CO206" s="9">
        <v>7.8E-2</v>
      </c>
      <c r="CP206" s="9">
        <v>0.14849999999999999</v>
      </c>
      <c r="CQ206" s="9">
        <v>0.126</v>
      </c>
      <c r="CR206" s="9">
        <v>0.114</v>
      </c>
      <c r="CS206" s="9">
        <v>0.105</v>
      </c>
      <c r="CT206" s="9">
        <v>6.3E-2</v>
      </c>
      <c r="CU206" s="9">
        <v>0.13350000000000001</v>
      </c>
      <c r="CV206" s="9">
        <v>0.105</v>
      </c>
      <c r="CW206" s="9">
        <v>0.108</v>
      </c>
      <c r="CX206" s="9">
        <v>0.11849999999999999</v>
      </c>
      <c r="CY206" s="9">
        <v>8.5500000000000007E-2</v>
      </c>
    </row>
    <row r="207" spans="1:103" ht="13">
      <c r="A207" s="1"/>
      <c r="B207" s="17"/>
      <c r="C207" s="32">
        <v>1000</v>
      </c>
      <c r="D207" s="9">
        <v>0.129</v>
      </c>
      <c r="E207" s="9">
        <v>0.12330000000000001</v>
      </c>
      <c r="F207" s="9">
        <v>0.1305</v>
      </c>
      <c r="G207" s="9">
        <v>0.11505</v>
      </c>
      <c r="H207" s="9">
        <v>0.1242</v>
      </c>
      <c r="I207" s="9">
        <v>0.12914999999999999</v>
      </c>
      <c r="J207" s="9">
        <v>0.12525</v>
      </c>
      <c r="K207" s="9">
        <v>0.12045</v>
      </c>
      <c r="L207" s="9">
        <v>0.10815</v>
      </c>
      <c r="M207" s="9">
        <v>0.11700000000000001</v>
      </c>
      <c r="N207" s="9">
        <v>0.11505</v>
      </c>
      <c r="O207" s="9">
        <v>0.12045</v>
      </c>
      <c r="P207" s="9">
        <v>0.10274999999999999</v>
      </c>
      <c r="Q207" s="9">
        <v>0.1197</v>
      </c>
      <c r="R207" s="9">
        <v>0.12825</v>
      </c>
      <c r="S207" s="9">
        <v>0.11459999999999999</v>
      </c>
      <c r="T207" s="9">
        <v>0.12089999999999999</v>
      </c>
      <c r="U207" s="9">
        <v>0.12989999999999999</v>
      </c>
      <c r="V207" s="9">
        <v>0.1236</v>
      </c>
      <c r="W207" s="9">
        <v>0.11955</v>
      </c>
      <c r="X207" s="9">
        <v>0.1179</v>
      </c>
      <c r="Y207" s="9">
        <v>0.1227</v>
      </c>
      <c r="Z207" s="9">
        <v>0.1125</v>
      </c>
      <c r="AA207" s="9">
        <v>0.1152</v>
      </c>
      <c r="AB207" s="9">
        <v>0.1293</v>
      </c>
      <c r="AC207" s="9">
        <v>0.11700000000000001</v>
      </c>
      <c r="AD207" s="9">
        <v>0.13439999999999999</v>
      </c>
      <c r="AE207" s="9">
        <v>0.1173</v>
      </c>
      <c r="AF207" s="9">
        <v>0.12734999999999999</v>
      </c>
      <c r="AG207" s="9">
        <v>0.12839999999999999</v>
      </c>
      <c r="AH207" s="9">
        <v>0.123</v>
      </c>
      <c r="AI207" s="9">
        <v>0.12255000000000001</v>
      </c>
      <c r="AJ207" s="9">
        <v>0.1188</v>
      </c>
      <c r="AK207" s="9">
        <v>0.10935</v>
      </c>
      <c r="AL207" s="9">
        <v>0.11625000000000001</v>
      </c>
      <c r="AM207" s="9">
        <v>0.12164999999999999</v>
      </c>
      <c r="AN207" s="9">
        <v>0.13170000000000001</v>
      </c>
      <c r="AO207" s="9">
        <v>0.13769999999999999</v>
      </c>
      <c r="AP207" s="9">
        <v>0.13320000000000001</v>
      </c>
      <c r="AQ207" s="9">
        <v>0.1143</v>
      </c>
      <c r="AR207" s="9">
        <v>0.11205</v>
      </c>
      <c r="AS207" s="9">
        <v>0.1176</v>
      </c>
      <c r="AT207" s="9">
        <v>0.1074</v>
      </c>
      <c r="AU207" s="9">
        <v>0.1215</v>
      </c>
      <c r="AV207" s="9">
        <v>0.10455</v>
      </c>
      <c r="AW207" s="9">
        <v>0.13919999999999999</v>
      </c>
      <c r="AX207" s="9">
        <v>0.12720000000000001</v>
      </c>
      <c r="AY207" s="9">
        <v>0.1197</v>
      </c>
      <c r="AZ207" s="9">
        <v>0.1236</v>
      </c>
      <c r="BA207" s="9">
        <v>0.1245</v>
      </c>
      <c r="BB207" s="9">
        <v>0.11685</v>
      </c>
      <c r="BC207" s="9">
        <v>0.11550000000000001</v>
      </c>
      <c r="BD207" s="9">
        <v>0.11415</v>
      </c>
      <c r="BE207" s="9">
        <v>0.13350000000000001</v>
      </c>
      <c r="BF207" s="9">
        <v>0.11565</v>
      </c>
      <c r="BG207" s="9">
        <v>0.12195</v>
      </c>
      <c r="BH207" s="9">
        <v>0.123</v>
      </c>
      <c r="BI207" s="9">
        <v>0.12509999999999999</v>
      </c>
      <c r="BJ207" s="9">
        <v>0.12675</v>
      </c>
      <c r="BK207" s="9">
        <v>0.1047</v>
      </c>
      <c r="BL207" s="9">
        <v>0.129</v>
      </c>
      <c r="BM207" s="9">
        <v>0.12255000000000001</v>
      </c>
      <c r="BN207" s="9">
        <v>0.1137</v>
      </c>
      <c r="BO207" s="9">
        <v>0.12914999999999999</v>
      </c>
      <c r="BP207" s="9">
        <v>0.12675</v>
      </c>
      <c r="BQ207" s="9">
        <v>0.12330000000000001</v>
      </c>
      <c r="BR207" s="9">
        <v>0.1158</v>
      </c>
      <c r="BS207" s="9">
        <v>0.12435</v>
      </c>
      <c r="BT207" s="9">
        <v>0.11924999999999999</v>
      </c>
      <c r="BU207" s="9">
        <v>0.1308</v>
      </c>
      <c r="BV207" s="9">
        <v>0.13739999999999999</v>
      </c>
      <c r="BW207" s="9">
        <v>0.11595</v>
      </c>
      <c r="BX207" s="9">
        <v>0.1242</v>
      </c>
      <c r="BY207" s="9">
        <v>0.11774999999999999</v>
      </c>
      <c r="BZ207" s="9">
        <v>0.1104</v>
      </c>
      <c r="CA207" s="9">
        <v>0.1305</v>
      </c>
      <c r="CB207" s="9">
        <v>0.11385000000000001</v>
      </c>
      <c r="CC207" s="9">
        <v>0.11685</v>
      </c>
      <c r="CD207" s="9">
        <v>0.13485</v>
      </c>
      <c r="CE207" s="9">
        <v>0.1014</v>
      </c>
      <c r="CF207" s="9">
        <v>0.11985</v>
      </c>
      <c r="CG207" s="9">
        <v>0.12285</v>
      </c>
      <c r="CH207" s="9">
        <v>0.1095</v>
      </c>
      <c r="CI207" s="9">
        <v>0.13139999999999999</v>
      </c>
      <c r="CJ207" s="9">
        <v>0.13170000000000001</v>
      </c>
      <c r="CK207" s="9">
        <v>0.1203</v>
      </c>
      <c r="CL207" s="9">
        <v>0.126</v>
      </c>
      <c r="CM207" s="9">
        <v>0.10095</v>
      </c>
      <c r="CN207" s="9">
        <v>0.11175</v>
      </c>
      <c r="CO207" s="9">
        <v>0.11595</v>
      </c>
      <c r="CP207" s="9">
        <v>0.1065</v>
      </c>
      <c r="CQ207" s="9">
        <v>0.13109999999999999</v>
      </c>
      <c r="CR207" s="9">
        <v>0.12089999999999999</v>
      </c>
      <c r="CS207" s="9">
        <v>0.11459999999999999</v>
      </c>
      <c r="CT207" s="9">
        <v>0.1167</v>
      </c>
      <c r="CU207" s="9">
        <v>0.13875000000000001</v>
      </c>
      <c r="CV207" s="9">
        <v>0.11310000000000001</v>
      </c>
      <c r="CW207" s="9">
        <v>0.11849999999999999</v>
      </c>
      <c r="CX207" s="9">
        <v>0.1221</v>
      </c>
      <c r="CY207" s="9">
        <v>0.11745</v>
      </c>
    </row>
    <row r="208" spans="1:103" ht="13">
      <c r="A208" s="1"/>
      <c r="B208" s="17"/>
      <c r="C208" s="32">
        <v>10000</v>
      </c>
      <c r="D208" s="9">
        <v>0.115845</v>
      </c>
      <c r="E208" s="9">
        <v>0.122685</v>
      </c>
      <c r="F208" s="9">
        <v>0.123045</v>
      </c>
      <c r="G208" s="9">
        <v>0.121755</v>
      </c>
      <c r="H208" s="9">
        <v>0.11924999999999999</v>
      </c>
      <c r="I208" s="9">
        <v>0.11859</v>
      </c>
      <c r="J208" s="9">
        <v>0.123585</v>
      </c>
      <c r="K208" s="9">
        <v>0.117345</v>
      </c>
      <c r="L208" s="9">
        <v>0.12192</v>
      </c>
      <c r="M208" s="9">
        <v>0.11838</v>
      </c>
      <c r="N208" s="9">
        <v>0.122715</v>
      </c>
      <c r="O208" s="9">
        <v>0.12106500000000001</v>
      </c>
      <c r="P208" s="9">
        <v>0.11547</v>
      </c>
      <c r="Q208" s="9">
        <v>0.12200999999999999</v>
      </c>
      <c r="R208" s="9">
        <v>0.119175</v>
      </c>
      <c r="S208" s="9">
        <v>0.12144000000000001</v>
      </c>
      <c r="T208" s="9">
        <v>0.11773500000000001</v>
      </c>
      <c r="U208" s="9">
        <v>0.11688</v>
      </c>
      <c r="V208" s="9">
        <v>0.12354</v>
      </c>
      <c r="W208" s="9">
        <v>0.12031500000000001</v>
      </c>
      <c r="X208" s="9">
        <v>0.121035</v>
      </c>
      <c r="Y208" s="9">
        <v>0.11423999999999999</v>
      </c>
      <c r="Z208" s="9">
        <v>0.11941499999999999</v>
      </c>
      <c r="AA208" s="9">
        <v>0.12096</v>
      </c>
      <c r="AB208" s="9">
        <v>0.123045</v>
      </c>
      <c r="AC208" s="9">
        <v>0.12135</v>
      </c>
      <c r="AD208" s="9">
        <v>0.12124500000000001</v>
      </c>
      <c r="AE208" s="9">
        <v>0.11703</v>
      </c>
      <c r="AF208" s="9">
        <v>0.119835</v>
      </c>
      <c r="AG208" s="9">
        <v>0.119745</v>
      </c>
      <c r="AH208" s="9">
        <v>0.124335</v>
      </c>
      <c r="AI208" s="9">
        <v>0.12426</v>
      </c>
      <c r="AJ208" s="9">
        <v>0.121875</v>
      </c>
      <c r="AK208" s="9">
        <v>0.120105</v>
      </c>
      <c r="AL208" s="9">
        <v>0.119535</v>
      </c>
      <c r="AM208" s="9">
        <v>0.12138</v>
      </c>
      <c r="AN208" s="9">
        <v>0.11831999999999999</v>
      </c>
      <c r="AO208" s="9">
        <v>0.120465</v>
      </c>
      <c r="AP208" s="9">
        <v>0.12052499999999999</v>
      </c>
      <c r="AQ208" s="9">
        <v>0.12069000000000001</v>
      </c>
      <c r="AR208" s="9">
        <v>0.12016499999999999</v>
      </c>
      <c r="AS208" s="9">
        <v>0.119085</v>
      </c>
      <c r="AT208" s="9">
        <v>0.12156</v>
      </c>
      <c r="AU208" s="9">
        <v>0.12163499999999999</v>
      </c>
      <c r="AV208" s="9">
        <v>0.119475</v>
      </c>
      <c r="AW208" s="9">
        <v>0.12013500000000001</v>
      </c>
      <c r="AX208" s="9">
        <v>0.118755</v>
      </c>
      <c r="AY208" s="9">
        <v>0.11551500000000001</v>
      </c>
      <c r="AZ208" s="9">
        <v>0.124185</v>
      </c>
      <c r="BA208" s="9">
        <v>0.12081</v>
      </c>
      <c r="BB208" s="9">
        <v>0.12084</v>
      </c>
      <c r="BC208" s="9">
        <v>0.11812499999999999</v>
      </c>
      <c r="BD208" s="9">
        <v>0.12217500000000001</v>
      </c>
      <c r="BE208" s="9">
        <v>0.11978999999999999</v>
      </c>
      <c r="BF208" s="9">
        <v>0.123615</v>
      </c>
      <c r="BG208" s="9">
        <v>0.12202499999999999</v>
      </c>
      <c r="BH208" s="9">
        <v>0.12235500000000001</v>
      </c>
      <c r="BI208" s="9">
        <v>0.11964</v>
      </c>
      <c r="BJ208" s="9">
        <v>0.12610499999999999</v>
      </c>
      <c r="BK208" s="9">
        <v>0.12129</v>
      </c>
      <c r="BL208" s="9">
        <v>0.1227</v>
      </c>
      <c r="BM208" s="9">
        <v>0.11712</v>
      </c>
      <c r="BN208" s="9">
        <v>0.120105</v>
      </c>
      <c r="BO208" s="9">
        <v>0.12559500000000001</v>
      </c>
      <c r="BP208" s="9">
        <v>0.12192</v>
      </c>
      <c r="BQ208" s="9">
        <v>0.12162000000000001</v>
      </c>
      <c r="BR208" s="9">
        <v>0.120765</v>
      </c>
      <c r="BS208" s="9">
        <v>0.12424499999999999</v>
      </c>
      <c r="BT208" s="9">
        <v>0.12164999999999999</v>
      </c>
      <c r="BU208" s="9">
        <v>0.12216</v>
      </c>
      <c r="BV208" s="9">
        <v>0.11774999999999999</v>
      </c>
      <c r="BW208" s="9">
        <v>0.12207</v>
      </c>
      <c r="BX208" s="9">
        <v>0.12045</v>
      </c>
      <c r="BY208" s="9">
        <v>0.12321</v>
      </c>
      <c r="BZ208" s="9">
        <v>0.119085</v>
      </c>
      <c r="CA208" s="9">
        <v>0.11980499999999999</v>
      </c>
      <c r="CB208" s="9">
        <v>0.12105</v>
      </c>
      <c r="CC208" s="9">
        <v>0.11676</v>
      </c>
      <c r="CD208" s="9">
        <v>0.12468</v>
      </c>
      <c r="CE208" s="9">
        <v>0.11665499999999999</v>
      </c>
      <c r="CF208" s="9">
        <v>0.119325</v>
      </c>
      <c r="CG208" s="9">
        <v>0.11792999999999999</v>
      </c>
      <c r="CH208" s="9">
        <v>0.12378</v>
      </c>
      <c r="CI208" s="9">
        <v>0.124155</v>
      </c>
      <c r="CJ208" s="9">
        <v>0.11853</v>
      </c>
      <c r="CK208" s="9">
        <v>0.122775</v>
      </c>
      <c r="CL208" s="9">
        <v>0.12018</v>
      </c>
      <c r="CM208" s="9">
        <v>0.12349499999999999</v>
      </c>
      <c r="CN208" s="9">
        <v>0.11902500000000001</v>
      </c>
      <c r="CO208" s="9">
        <v>0.119835</v>
      </c>
      <c r="CP208" s="9">
        <v>0.119475</v>
      </c>
      <c r="CQ208" s="9">
        <v>0.11924999999999999</v>
      </c>
      <c r="CR208" s="9">
        <v>0.1191</v>
      </c>
      <c r="CS208" s="9">
        <v>0.12063</v>
      </c>
      <c r="CT208" s="9">
        <v>0.12529499999999999</v>
      </c>
      <c r="CU208" s="9">
        <v>0.12339</v>
      </c>
      <c r="CV208" s="9">
        <v>0.118935</v>
      </c>
      <c r="CW208" s="9">
        <v>0.12426</v>
      </c>
      <c r="CX208" s="9">
        <v>0.11778</v>
      </c>
      <c r="CY208" s="9">
        <v>0.122115</v>
      </c>
    </row>
    <row r="209" spans="1:103" ht="13">
      <c r="A209" s="1"/>
      <c r="B209" s="17"/>
      <c r="C209" s="32">
        <v>100000</v>
      </c>
      <c r="D209" s="9">
        <v>0.12032900000000001</v>
      </c>
      <c r="E209" s="9">
        <v>0.120573</v>
      </c>
      <c r="F209" s="9">
        <v>0.11915100000000001</v>
      </c>
      <c r="G209" s="9">
        <v>0.12107</v>
      </c>
      <c r="H209" s="9">
        <v>0.12042799999999999</v>
      </c>
      <c r="I209" s="9">
        <v>0.120936</v>
      </c>
      <c r="J209" s="9">
        <v>0.119807</v>
      </c>
      <c r="K209" s="9">
        <v>0.119882</v>
      </c>
      <c r="L209" s="9">
        <v>0.122063</v>
      </c>
      <c r="M209" s="9">
        <v>0.12015199999999999</v>
      </c>
      <c r="N209" s="9">
        <v>0.12006</v>
      </c>
      <c r="O209" s="9">
        <v>0.120935</v>
      </c>
      <c r="P209" s="9">
        <v>0.12005300000000001</v>
      </c>
      <c r="Q209" s="9">
        <v>0.121326</v>
      </c>
      <c r="R209" s="9">
        <v>0.121361</v>
      </c>
      <c r="S209" s="9">
        <v>0.122673</v>
      </c>
      <c r="T209" s="9">
        <v>0.120711</v>
      </c>
      <c r="U209" s="9">
        <v>0.11996999999999999</v>
      </c>
      <c r="V209" s="9">
        <v>0.12069199999999999</v>
      </c>
      <c r="W209" s="9">
        <v>0.120116</v>
      </c>
      <c r="X209" s="9">
        <v>0.12173299999999999</v>
      </c>
      <c r="Y209" s="9">
        <v>0.122007</v>
      </c>
      <c r="Z209" s="9">
        <v>0.120756</v>
      </c>
      <c r="AA209" s="9">
        <v>0.12127400000000001</v>
      </c>
      <c r="AB209" s="9">
        <v>0.12089900000000001</v>
      </c>
      <c r="AC209" s="9">
        <v>0.119933</v>
      </c>
      <c r="AD209" s="9">
        <v>0.11847299999999999</v>
      </c>
      <c r="AE209" s="9">
        <v>0.120341</v>
      </c>
      <c r="AF209" s="9">
        <v>0.121451</v>
      </c>
      <c r="AG209" s="9">
        <v>0.120686</v>
      </c>
      <c r="AH209" s="9">
        <v>0.120158</v>
      </c>
      <c r="AI209" s="9">
        <v>0.11990000000000001</v>
      </c>
      <c r="AJ209" s="9">
        <v>0.11885900000000001</v>
      </c>
      <c r="AK209" s="9">
        <v>0.120075</v>
      </c>
      <c r="AL209" s="9">
        <v>0.121655</v>
      </c>
      <c r="AM209" s="9">
        <v>0.119657</v>
      </c>
      <c r="AN209" s="9">
        <v>0.120786</v>
      </c>
      <c r="AO209" s="9">
        <v>0.119558</v>
      </c>
      <c r="AP209" s="9">
        <v>0.12119000000000001</v>
      </c>
      <c r="AQ209" s="9">
        <v>0.120585</v>
      </c>
      <c r="AR209" s="9">
        <v>0.121394</v>
      </c>
      <c r="AS209" s="9">
        <v>0.11942700000000001</v>
      </c>
      <c r="AT209" s="9">
        <v>0.119793</v>
      </c>
      <c r="AU209" s="9">
        <v>0.120999</v>
      </c>
      <c r="AV209" s="9">
        <v>0.122319</v>
      </c>
      <c r="AW209" s="9">
        <v>0.12099600000000001</v>
      </c>
      <c r="AX209" s="9">
        <v>0.120569</v>
      </c>
      <c r="AY209" s="9">
        <v>0.12001100000000001</v>
      </c>
      <c r="AZ209" s="9">
        <v>0.12033199999999999</v>
      </c>
      <c r="BA209" s="9">
        <v>0.119765</v>
      </c>
      <c r="BB209" s="9">
        <v>0.12081799999999999</v>
      </c>
      <c r="BC209" s="9">
        <v>0.12046800000000001</v>
      </c>
      <c r="BD209" s="9">
        <v>0.121776</v>
      </c>
      <c r="BE209" s="9">
        <v>0.120159</v>
      </c>
      <c r="BF209" s="9">
        <v>0.120717</v>
      </c>
      <c r="BG209" s="9">
        <v>0.120846</v>
      </c>
      <c r="BH209" s="9">
        <v>0.120449</v>
      </c>
      <c r="BI209" s="9">
        <v>0.12121800000000001</v>
      </c>
      <c r="BJ209" s="9">
        <v>0.120032</v>
      </c>
      <c r="BK209" s="9">
        <v>0.119522</v>
      </c>
      <c r="BL209" s="9">
        <v>0.121464</v>
      </c>
      <c r="BM209" s="9">
        <v>0.120717</v>
      </c>
      <c r="BN209" s="9">
        <v>0.119769</v>
      </c>
      <c r="BO209" s="9">
        <v>0.12139999999999999</v>
      </c>
      <c r="BP209" s="9">
        <v>0.120203</v>
      </c>
      <c r="BQ209" s="9">
        <v>0.119243</v>
      </c>
      <c r="BR209" s="9">
        <v>0.120962</v>
      </c>
      <c r="BS209" s="9">
        <v>0.120645</v>
      </c>
      <c r="BT209" s="9">
        <v>0.12030200000000001</v>
      </c>
      <c r="BU209" s="9">
        <v>0.120668</v>
      </c>
      <c r="BV209" s="9">
        <v>0.120558</v>
      </c>
      <c r="BW209" s="9">
        <v>0.12071999999999999</v>
      </c>
      <c r="BX209" s="9">
        <v>0.119684</v>
      </c>
      <c r="BY209" s="9">
        <v>0.12177300000000001</v>
      </c>
      <c r="BZ209" s="9">
        <v>0.119936</v>
      </c>
      <c r="CA209" s="9">
        <v>0.12157800000000001</v>
      </c>
      <c r="CB209" s="9">
        <v>0.12088500000000001</v>
      </c>
      <c r="CC209" s="9">
        <v>0.120035</v>
      </c>
      <c r="CD209" s="9">
        <v>0.121091</v>
      </c>
      <c r="CE209" s="9">
        <v>0.121062</v>
      </c>
      <c r="CF209" s="9">
        <v>0.119765</v>
      </c>
      <c r="CG209" s="9">
        <v>0.120155</v>
      </c>
      <c r="CH209" s="9">
        <v>0.11983099999999999</v>
      </c>
      <c r="CI209" s="9">
        <v>0.121973</v>
      </c>
      <c r="CJ209" s="9">
        <v>0.120855</v>
      </c>
      <c r="CK209" s="9">
        <v>0.120963</v>
      </c>
      <c r="CL209" s="9">
        <v>0.120381</v>
      </c>
      <c r="CM209" s="9">
        <v>0.120606</v>
      </c>
      <c r="CN209" s="9">
        <v>0.121238</v>
      </c>
      <c r="CO209" s="9">
        <v>0.120393</v>
      </c>
      <c r="CP209" s="9">
        <v>0.119363</v>
      </c>
      <c r="CQ209" s="9">
        <v>0.11969399999999999</v>
      </c>
      <c r="CR209" s="9">
        <v>0.119898</v>
      </c>
      <c r="CS209" s="9">
        <v>0.120132</v>
      </c>
      <c r="CT209" s="9">
        <v>0.119973</v>
      </c>
      <c r="CU209" s="9">
        <v>0.120447</v>
      </c>
      <c r="CV209" s="9">
        <v>0.119112</v>
      </c>
      <c r="CW209" s="9">
        <v>0.11930300000000001</v>
      </c>
      <c r="CX209" s="9">
        <v>0.11897099999999999</v>
      </c>
      <c r="CY209" s="9">
        <v>0.11990000000000001</v>
      </c>
    </row>
    <row r="210" spans="1:103" ht="13">
      <c r="A210" s="1"/>
      <c r="B210" s="17"/>
      <c r="C210" s="32">
        <v>1000000</v>
      </c>
      <c r="D210" s="9">
        <v>0.120643</v>
      </c>
      <c r="E210" s="9">
        <v>0.12066300000000001</v>
      </c>
      <c r="F210" s="9">
        <v>0.12109300000000001</v>
      </c>
      <c r="G210" s="9">
        <v>0.120572</v>
      </c>
      <c r="H210" s="9">
        <v>0.120783</v>
      </c>
      <c r="I210" s="9">
        <v>0.120208</v>
      </c>
      <c r="J210" s="9">
        <v>0.120493</v>
      </c>
      <c r="K210" s="9">
        <v>0.12033199999999999</v>
      </c>
      <c r="L210" s="9">
        <v>0.12006600000000001</v>
      </c>
      <c r="M210" s="9">
        <v>0.120948</v>
      </c>
      <c r="N210" s="9">
        <v>0.120755</v>
      </c>
      <c r="O210" s="9">
        <v>0.120586</v>
      </c>
      <c r="P210" s="9">
        <v>0.12073299999999999</v>
      </c>
      <c r="Q210" s="9">
        <v>0.120813</v>
      </c>
      <c r="R210" s="9">
        <v>0.120159</v>
      </c>
      <c r="S210" s="9">
        <v>0.12044299999999999</v>
      </c>
      <c r="T210" s="9">
        <v>0.120597</v>
      </c>
      <c r="U210" s="9">
        <v>0.12043</v>
      </c>
      <c r="V210" s="9">
        <v>0.12015000000000001</v>
      </c>
      <c r="W210" s="9">
        <v>0.120292</v>
      </c>
      <c r="X210" s="9">
        <v>0.12038500000000001</v>
      </c>
      <c r="Y210" s="9">
        <v>0.120446</v>
      </c>
      <c r="Z210" s="9">
        <v>0.120559</v>
      </c>
      <c r="AA210" s="9">
        <v>0.120156</v>
      </c>
      <c r="AB210" s="9">
        <v>0.120556</v>
      </c>
      <c r="AC210" s="9">
        <v>0.12059599999999999</v>
      </c>
      <c r="AD210" s="9">
        <v>0.120777</v>
      </c>
      <c r="AE210" s="9">
        <v>0.12059400000000001</v>
      </c>
      <c r="AF210" s="9">
        <v>0.120793</v>
      </c>
      <c r="AG210" s="9">
        <v>0.120486</v>
      </c>
      <c r="AH210" s="9">
        <v>0.119966</v>
      </c>
      <c r="AI210" s="9">
        <v>0.120476</v>
      </c>
      <c r="AJ210" s="9">
        <v>0.12034599999999999</v>
      </c>
      <c r="AK210" s="9">
        <v>0.12043</v>
      </c>
      <c r="AL210" s="9">
        <v>0.12078999999999999</v>
      </c>
      <c r="AM210" s="9">
        <v>0.12053999999999999</v>
      </c>
      <c r="AN210" s="9">
        <v>0.120337</v>
      </c>
      <c r="AO210" s="9">
        <v>0.120078</v>
      </c>
      <c r="AP210" s="9">
        <v>0.120654</v>
      </c>
      <c r="AQ210" s="9">
        <v>0.120425</v>
      </c>
      <c r="AR210" s="9">
        <v>0.120647</v>
      </c>
      <c r="AS210" s="9">
        <v>0.12028800000000001</v>
      </c>
      <c r="AT210" s="9">
        <v>0.12067700000000001</v>
      </c>
      <c r="AU210" s="9">
        <v>0.12024700000000001</v>
      </c>
      <c r="AV210" s="9">
        <v>0.12009300000000001</v>
      </c>
      <c r="AW210" s="9">
        <v>0.120563</v>
      </c>
      <c r="AX210" s="9">
        <v>0.1206</v>
      </c>
      <c r="AY210" s="9">
        <v>0.120864</v>
      </c>
      <c r="AZ210" s="9">
        <v>0.12096899999999999</v>
      </c>
      <c r="BA210" s="9">
        <v>0.120438</v>
      </c>
      <c r="BB210" s="9">
        <v>0.120925</v>
      </c>
      <c r="BC210" s="9">
        <v>0.120729</v>
      </c>
      <c r="BD210" s="9">
        <v>0.120245</v>
      </c>
      <c r="BE210" s="9">
        <v>0.120268</v>
      </c>
      <c r="BF210" s="9">
        <v>0.120325</v>
      </c>
      <c r="BG210" s="9">
        <v>0.120153</v>
      </c>
      <c r="BH210" s="9">
        <v>0.120991</v>
      </c>
      <c r="BI210" s="9">
        <v>0.12045599999999999</v>
      </c>
      <c r="BJ210" s="9">
        <v>0.120463</v>
      </c>
      <c r="BK210" s="9">
        <v>0.120694</v>
      </c>
      <c r="BL210" s="9">
        <v>0.12099799999999999</v>
      </c>
      <c r="BM210" s="9">
        <v>0.120214</v>
      </c>
      <c r="BN210" s="9">
        <v>0.120144</v>
      </c>
      <c r="BO210" s="9">
        <v>0.120744</v>
      </c>
      <c r="BP210" s="9">
        <v>0.12031799999999999</v>
      </c>
      <c r="BQ210" s="9">
        <v>0.12062100000000001</v>
      </c>
      <c r="BR210" s="9">
        <v>0.12028700000000001</v>
      </c>
      <c r="BS210" s="9">
        <v>0.12086</v>
      </c>
      <c r="BT210" s="9">
        <v>0.120465</v>
      </c>
      <c r="BU210" s="9">
        <v>0.120534</v>
      </c>
      <c r="BV210" s="9">
        <v>0.120417</v>
      </c>
      <c r="BW210" s="9">
        <v>0.120352</v>
      </c>
      <c r="BX210" s="9">
        <v>0.12064800000000001</v>
      </c>
      <c r="BY210" s="9">
        <v>0.121029</v>
      </c>
      <c r="BZ210" s="9">
        <v>0.120308</v>
      </c>
      <c r="CA210" s="9">
        <v>0.12037100000000001</v>
      </c>
      <c r="CB210" s="9">
        <v>0.120619</v>
      </c>
      <c r="CC210" s="9">
        <v>0.120895</v>
      </c>
      <c r="CD210" s="9">
        <v>0.120528</v>
      </c>
      <c r="CE210" s="9">
        <v>0.120294</v>
      </c>
      <c r="CF210" s="9">
        <v>0.12055200000000001</v>
      </c>
      <c r="CG210" s="9">
        <v>0.120085</v>
      </c>
      <c r="CH210" s="9">
        <v>0.120723</v>
      </c>
      <c r="CI210" s="9">
        <v>0.12109200000000001</v>
      </c>
      <c r="CJ210" s="9">
        <v>0.12035700000000001</v>
      </c>
      <c r="CK210" s="9">
        <v>0.120711</v>
      </c>
      <c r="CL210" s="9">
        <v>0.121071</v>
      </c>
      <c r="CM210" s="9">
        <v>0.12066499999999999</v>
      </c>
      <c r="CN210" s="9">
        <v>0.12056500000000001</v>
      </c>
      <c r="CO210" s="9">
        <v>0.120369</v>
      </c>
      <c r="CP210" s="9">
        <v>0.12031600000000001</v>
      </c>
      <c r="CQ210" s="9">
        <v>0.120383</v>
      </c>
      <c r="CR210" s="9">
        <v>0.120292</v>
      </c>
      <c r="CS210" s="9">
        <v>0.12031500000000001</v>
      </c>
      <c r="CT210" s="9">
        <v>0.12030299999999999</v>
      </c>
      <c r="CU210" s="9">
        <v>0.120285</v>
      </c>
      <c r="CV210" s="9">
        <v>0.12073200000000001</v>
      </c>
      <c r="CW210" s="9">
        <v>0.120556</v>
      </c>
      <c r="CX210" s="9">
        <v>0.121118</v>
      </c>
      <c r="CY210" s="9">
        <v>0.120743</v>
      </c>
    </row>
    <row r="211" spans="1:103" ht="13">
      <c r="A211" s="1"/>
      <c r="B211" s="17"/>
      <c r="C211" s="17"/>
      <c r="D211" s="17"/>
      <c r="E211" s="17"/>
      <c r="F211" s="17"/>
      <c r="G211" s="17"/>
      <c r="H211" s="2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</row>
    <row r="212" spans="1:103" ht="13">
      <c r="A212" s="1"/>
      <c r="B212" s="17"/>
      <c r="C212" s="17"/>
      <c r="D212" s="17"/>
      <c r="E212" s="17"/>
      <c r="F212" s="17"/>
      <c r="G212" s="17"/>
      <c r="H212" s="2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</row>
    <row r="213" spans="1:103" ht="13">
      <c r="A213" s="1"/>
      <c r="B213" s="27" t="s">
        <v>28</v>
      </c>
      <c r="C213" s="31"/>
      <c r="D213" s="17"/>
      <c r="E213" s="17"/>
      <c r="F213" s="17"/>
      <c r="G213" s="17"/>
      <c r="H213" s="2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</row>
    <row r="214" spans="1:103" ht="13">
      <c r="A214" s="1"/>
      <c r="B214" s="17"/>
      <c r="C214" s="31" t="s">
        <v>17</v>
      </c>
      <c r="D214" s="1" t="s">
        <v>30</v>
      </c>
      <c r="E214" s="1" t="s">
        <v>18</v>
      </c>
      <c r="F214" s="1" t="s">
        <v>47</v>
      </c>
      <c r="G214" s="17"/>
      <c r="H214" s="2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</row>
    <row r="215" spans="1:103" ht="13">
      <c r="A215" s="1"/>
      <c r="B215" s="17"/>
      <c r="C215" s="32">
        <v>10</v>
      </c>
      <c r="D215">
        <f t="shared" ref="D215:D220" si="19">AVERAGE(D195:CY195)</f>
        <v>0.11499999999999989</v>
      </c>
      <c r="E215">
        <f t="shared" ref="E215:E220" si="20">AVERAGE(D205:CY205)</f>
        <v>0.12375</v>
      </c>
      <c r="F215">
        <v>0.12052663000000001</v>
      </c>
      <c r="G215" s="17"/>
      <c r="H215" s="2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</row>
    <row r="216" spans="1:103" ht="13">
      <c r="A216" s="1"/>
      <c r="B216" s="17"/>
      <c r="C216" s="32">
        <v>100</v>
      </c>
      <c r="D216">
        <f t="shared" si="19"/>
        <v>0.11749999999999998</v>
      </c>
      <c r="E216">
        <f t="shared" si="20"/>
        <v>0.11871000000000002</v>
      </c>
      <c r="F216">
        <v>0.12052663000000001</v>
      </c>
      <c r="G216" s="17"/>
      <c r="H216" s="2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</row>
    <row r="217" spans="1:103" ht="13">
      <c r="A217" s="1"/>
      <c r="B217" s="17"/>
      <c r="C217" s="32">
        <v>1000</v>
      </c>
      <c r="D217">
        <f t="shared" si="19"/>
        <v>0.12039000000000007</v>
      </c>
      <c r="E217">
        <f t="shared" si="20"/>
        <v>0.12089549999999996</v>
      </c>
      <c r="F217">
        <v>0.12052663000000001</v>
      </c>
      <c r="G217" s="17"/>
      <c r="H217" s="2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</row>
    <row r="218" spans="1:103" ht="13">
      <c r="A218" s="1"/>
      <c r="B218" s="17"/>
      <c r="C218" s="32">
        <v>10000</v>
      </c>
      <c r="D218">
        <f t="shared" si="19"/>
        <v>0.11999800000000002</v>
      </c>
      <c r="E218">
        <f t="shared" si="20"/>
        <v>0.1206807</v>
      </c>
      <c r="F218">
        <v>0.12052663000000001</v>
      </c>
      <c r="G218" s="17"/>
      <c r="H218" s="2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</row>
    <row r="219" spans="1:103" ht="13">
      <c r="A219" s="1"/>
      <c r="B219" s="17"/>
      <c r="C219" s="32">
        <v>100000</v>
      </c>
      <c r="D219">
        <f t="shared" si="19"/>
        <v>0.12050710000000003</v>
      </c>
      <c r="E219">
        <f t="shared" si="20"/>
        <v>0.12049521999999996</v>
      </c>
      <c r="F219">
        <v>0.12052663000000001</v>
      </c>
      <c r="G219" s="17"/>
      <c r="H219" s="2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</row>
    <row r="220" spans="1:103" ht="13">
      <c r="A220" s="1"/>
      <c r="B220" s="17"/>
      <c r="C220" s="32">
        <v>1000000</v>
      </c>
      <c r="D220">
        <f t="shared" si="19"/>
        <v>0.12058463000000001</v>
      </c>
      <c r="E220">
        <f t="shared" si="20"/>
        <v>0.12052663000000001</v>
      </c>
      <c r="F220">
        <v>0.12052663000000001</v>
      </c>
      <c r="G220" s="17"/>
      <c r="H220" s="2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</row>
    <row r="221" spans="1:103" ht="13">
      <c r="A221" s="1"/>
      <c r="B221" s="17"/>
      <c r="C221" s="31"/>
      <c r="D221" s="17"/>
      <c r="E221" s="17"/>
      <c r="F221" s="17"/>
      <c r="G221" s="17"/>
      <c r="H221" s="2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</row>
    <row r="222" spans="1:103" ht="13">
      <c r="A222" s="1"/>
      <c r="B222" s="27" t="s">
        <v>31</v>
      </c>
      <c r="C222" s="31"/>
      <c r="D222" s="17"/>
      <c r="E222" s="17"/>
      <c r="F222" s="17"/>
      <c r="G222" s="17"/>
      <c r="H222" s="2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</row>
    <row r="223" spans="1:103" ht="13">
      <c r="A223" s="1"/>
      <c r="B223" s="17"/>
      <c r="C223" s="31" t="s">
        <v>17</v>
      </c>
      <c r="D223" s="1" t="s">
        <v>38</v>
      </c>
      <c r="E223" s="35" t="s">
        <v>40</v>
      </c>
      <c r="F223" s="1" t="s">
        <v>47</v>
      </c>
      <c r="G223" s="17"/>
      <c r="H223" s="2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</row>
    <row r="224" spans="1:103" ht="13">
      <c r="A224" s="1"/>
      <c r="B224" s="17"/>
      <c r="C224" s="32">
        <v>10</v>
      </c>
      <c r="D224" s="17" t="e">
        <f t="shared" ref="D224:D229" ca="1" si="21">_xludf.VAR.S(D195:CY195)</f>
        <v>#NAME?</v>
      </c>
      <c r="E224" s="17" t="e">
        <f t="shared" ref="E224:E229" ca="1" si="22">_xludf.VAR.S(D205:CY205)</f>
        <v>#NAME?</v>
      </c>
      <c r="F224" s="12">
        <f t="shared" ref="F224:F229" si="23">F215*(((1+0.85^2)/(1+0.85))-F215)/C224</f>
        <v>9.7693396420302555E-3</v>
      </c>
      <c r="G224" s="17"/>
      <c r="H224" s="2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</row>
    <row r="225" spans="1:103" ht="13">
      <c r="A225" s="1"/>
      <c r="B225" s="17"/>
      <c r="C225" s="32">
        <v>100</v>
      </c>
      <c r="D225" s="17" t="e">
        <f t="shared" ca="1" si="21"/>
        <v>#NAME?</v>
      </c>
      <c r="E225" s="17" t="e">
        <f t="shared" ca="1" si="22"/>
        <v>#NAME?</v>
      </c>
      <c r="F225" s="12">
        <f t="shared" si="23"/>
        <v>9.7693396420302551E-4</v>
      </c>
      <c r="G225" s="17"/>
      <c r="H225" s="2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</row>
    <row r="226" spans="1:103" ht="13">
      <c r="A226" s="1"/>
      <c r="B226" s="17"/>
      <c r="C226" s="32">
        <v>1000</v>
      </c>
      <c r="D226" s="17" t="e">
        <f t="shared" ca="1" si="21"/>
        <v>#NAME?</v>
      </c>
      <c r="E226" s="17" t="e">
        <f t="shared" ca="1" si="22"/>
        <v>#NAME?</v>
      </c>
      <c r="F226" s="12">
        <f t="shared" si="23"/>
        <v>9.7693396420302564E-5</v>
      </c>
      <c r="G226" s="17"/>
      <c r="H226" s="2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</row>
    <row r="227" spans="1:103" ht="13">
      <c r="A227" s="1"/>
      <c r="B227" s="17"/>
      <c r="C227" s="32">
        <v>10000</v>
      </c>
      <c r="D227" s="17" t="e">
        <f t="shared" ca="1" si="21"/>
        <v>#NAME?</v>
      </c>
      <c r="E227" s="17" t="e">
        <f t="shared" ca="1" si="22"/>
        <v>#NAME?</v>
      </c>
      <c r="F227" s="12">
        <f t="shared" si="23"/>
        <v>9.7693396420302554E-6</v>
      </c>
      <c r="G227" s="17"/>
      <c r="H227" s="2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</row>
    <row r="228" spans="1:103" ht="13">
      <c r="A228" s="1"/>
      <c r="B228" s="17"/>
      <c r="C228" s="32">
        <v>100000</v>
      </c>
      <c r="D228" s="17" t="e">
        <f t="shared" ca="1" si="21"/>
        <v>#NAME?</v>
      </c>
      <c r="E228" s="17" t="e">
        <f t="shared" ca="1" si="22"/>
        <v>#NAME?</v>
      </c>
      <c r="F228" s="12">
        <f t="shared" si="23"/>
        <v>9.7693396420302562E-7</v>
      </c>
      <c r="G228" s="17"/>
      <c r="H228" s="2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</row>
    <row r="229" spans="1:103" ht="13">
      <c r="A229" s="1"/>
      <c r="B229" s="17"/>
      <c r="C229" s="32">
        <v>1000000</v>
      </c>
      <c r="D229" s="17" t="e">
        <f t="shared" ca="1" si="21"/>
        <v>#NAME?</v>
      </c>
      <c r="E229" s="17" t="e">
        <f t="shared" ca="1" si="22"/>
        <v>#NAME?</v>
      </c>
      <c r="F229" s="12">
        <f t="shared" si="23"/>
        <v>9.769339642030256E-8</v>
      </c>
      <c r="G229" s="17"/>
      <c r="H229" s="2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</row>
    <row r="230" spans="1:103" ht="13">
      <c r="A230" s="1"/>
      <c r="B230" s="17"/>
      <c r="C230" s="17"/>
      <c r="D230" s="17"/>
      <c r="E230" s="17"/>
      <c r="F230" s="17"/>
      <c r="G230" s="17"/>
      <c r="H230" s="2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</row>
    <row r="231" spans="1:103" ht="13">
      <c r="A231" s="1"/>
      <c r="B231" s="17"/>
      <c r="C231" s="17"/>
      <c r="D231" s="17"/>
      <c r="E231" s="17"/>
      <c r="F231" s="17"/>
      <c r="G231" s="17"/>
      <c r="H231" s="2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</row>
    <row r="232" spans="1:103" ht="13">
      <c r="A232" s="1"/>
      <c r="B232" s="17"/>
      <c r="C232" s="17"/>
      <c r="D232" s="17"/>
      <c r="E232" s="17"/>
      <c r="F232" s="17"/>
      <c r="G232" s="17"/>
      <c r="H232" s="2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</row>
    <row r="233" spans="1:103" ht="13">
      <c r="A233" s="1"/>
      <c r="B233" s="17"/>
      <c r="C233" s="17"/>
      <c r="D233" s="17"/>
      <c r="E233" s="17"/>
      <c r="F233" s="17"/>
      <c r="G233" s="17"/>
      <c r="H233" s="2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</row>
    <row r="234" spans="1:103" ht="13">
      <c r="A234" s="1"/>
      <c r="B234" s="17"/>
      <c r="C234" s="17"/>
      <c r="D234" s="17"/>
      <c r="E234" s="17"/>
      <c r="F234" s="17"/>
      <c r="G234" s="17"/>
      <c r="H234" s="2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</row>
    <row r="235" spans="1:103" ht="13">
      <c r="A235" s="1"/>
      <c r="B235" s="17"/>
      <c r="C235" s="17"/>
      <c r="D235" s="17"/>
      <c r="E235" s="17"/>
      <c r="F235" s="17"/>
      <c r="G235" s="17"/>
      <c r="H235" s="2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</row>
    <row r="236" spans="1:103" ht="13">
      <c r="A236" s="1"/>
      <c r="B236" s="17"/>
      <c r="C236" s="17"/>
      <c r="D236" s="17"/>
      <c r="E236" s="17"/>
      <c r="F236" s="17"/>
      <c r="G236" s="17"/>
      <c r="H236" s="2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</row>
    <row r="237" spans="1:103" ht="13">
      <c r="A237" s="1"/>
      <c r="B237" s="17"/>
      <c r="C237" s="17"/>
      <c r="D237" s="17"/>
      <c r="E237" s="17"/>
      <c r="F237" s="17"/>
      <c r="G237" s="17"/>
      <c r="H237" s="2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</row>
    <row r="238" spans="1:103" ht="13">
      <c r="A238" s="1"/>
      <c r="B238" s="17"/>
      <c r="C238" s="17"/>
      <c r="D238" s="17"/>
      <c r="E238" s="17"/>
      <c r="F238" s="17"/>
      <c r="G238" s="17"/>
      <c r="H238" s="2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</row>
    <row r="239" spans="1:103" ht="13">
      <c r="A239" s="1"/>
      <c r="B239" s="17"/>
      <c r="C239" s="17"/>
      <c r="D239" s="17"/>
      <c r="E239" s="17"/>
      <c r="F239" s="17"/>
      <c r="G239" s="17"/>
      <c r="H239" s="2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</row>
    <row r="240" spans="1:103" ht="13">
      <c r="A240" s="1"/>
      <c r="B240" s="17"/>
      <c r="C240" s="17"/>
      <c r="D240" s="17"/>
      <c r="E240" s="17"/>
      <c r="F240" s="17"/>
      <c r="G240" s="17"/>
      <c r="H240" s="2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</row>
    <row r="241" spans="1:103" ht="13">
      <c r="A241" s="1"/>
      <c r="B241" s="17"/>
      <c r="C241" s="17"/>
      <c r="D241" s="17"/>
      <c r="E241" s="17"/>
      <c r="F241" s="17"/>
      <c r="G241" s="17"/>
      <c r="H241" s="2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</row>
    <row r="242" spans="1:103" ht="13">
      <c r="A242" s="1"/>
      <c r="B242" s="17"/>
      <c r="C242" s="17"/>
      <c r="D242" s="17"/>
      <c r="E242" s="17"/>
      <c r="F242" s="17"/>
      <c r="G242" s="17"/>
      <c r="H242" s="2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</row>
    <row r="243" spans="1:103" ht="13">
      <c r="A243" s="1"/>
      <c r="B243" s="17"/>
      <c r="C243" s="17"/>
      <c r="D243" s="17"/>
      <c r="E243" s="17"/>
      <c r="F243" s="17"/>
      <c r="G243" s="17"/>
      <c r="H243" s="2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</row>
    <row r="244" spans="1:103" ht="13">
      <c r="A244" s="1"/>
      <c r="B244" s="17"/>
      <c r="C244" s="17"/>
      <c r="D244" s="17"/>
      <c r="E244" s="17"/>
      <c r="F244" s="17"/>
      <c r="G244" s="17"/>
      <c r="H244" s="2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</row>
    <row r="245" spans="1:103" ht="13">
      <c r="A245" s="1"/>
      <c r="B245" s="17"/>
      <c r="C245" s="17"/>
      <c r="D245" s="17"/>
      <c r="E245" s="17"/>
      <c r="F245" s="17"/>
      <c r="G245" s="17"/>
      <c r="H245" s="2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</row>
    <row r="246" spans="1:103" ht="13">
      <c r="A246" s="1"/>
      <c r="B246" s="17"/>
      <c r="C246" s="17"/>
      <c r="D246" s="17"/>
      <c r="E246" s="17"/>
      <c r="F246" s="17"/>
      <c r="G246" s="17"/>
      <c r="H246" s="2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</row>
    <row r="247" spans="1:103" ht="13">
      <c r="A247" s="1"/>
      <c r="B247" s="17"/>
      <c r="C247" s="17"/>
      <c r="D247" s="17"/>
      <c r="E247" s="17"/>
      <c r="F247" s="17"/>
      <c r="G247" s="17"/>
      <c r="H247" s="2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</row>
    <row r="248" spans="1:103" ht="13">
      <c r="A248" s="1"/>
      <c r="B248" s="17"/>
      <c r="C248" s="17"/>
      <c r="D248" s="17"/>
      <c r="E248" s="17"/>
      <c r="F248" s="17"/>
      <c r="G248" s="17"/>
      <c r="H248" s="2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</row>
    <row r="249" spans="1:103" ht="13">
      <c r="A249" s="1"/>
      <c r="B249" s="17"/>
      <c r="C249" s="17"/>
      <c r="D249" s="17"/>
      <c r="E249" s="17"/>
      <c r="F249" s="17"/>
      <c r="G249" s="17"/>
      <c r="H249" s="2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</row>
    <row r="250" spans="1:103" ht="13">
      <c r="A250" s="1"/>
      <c r="B250" s="17"/>
      <c r="C250" s="17"/>
      <c r="D250" s="17"/>
      <c r="E250" s="17"/>
      <c r="F250" s="17"/>
      <c r="G250" s="17"/>
      <c r="H250" s="2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</row>
    <row r="251" spans="1:103" ht="13">
      <c r="A251" s="1"/>
      <c r="B251" s="17"/>
      <c r="C251" s="17"/>
      <c r="D251" s="17"/>
      <c r="E251" s="17"/>
      <c r="F251" s="17"/>
      <c r="G251" s="17"/>
      <c r="H251" s="2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</row>
    <row r="252" spans="1:103" ht="13">
      <c r="A252" s="1"/>
      <c r="B252" s="17"/>
      <c r="C252" s="17"/>
      <c r="D252" s="17"/>
      <c r="E252" s="17"/>
      <c r="F252" s="17"/>
      <c r="G252" s="17"/>
      <c r="H252" s="2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</row>
    <row r="253" spans="1:103" ht="13">
      <c r="A253" s="1"/>
      <c r="B253" s="17"/>
      <c r="C253" s="17"/>
      <c r="D253" s="17"/>
      <c r="E253" s="17"/>
      <c r="F253" s="17"/>
      <c r="G253" s="17"/>
      <c r="H253" s="2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</row>
    <row r="254" spans="1:103" ht="13">
      <c r="A254" s="1"/>
      <c r="B254" s="17"/>
      <c r="C254" s="17"/>
      <c r="D254" s="17"/>
      <c r="E254" s="17"/>
      <c r="F254" s="17"/>
      <c r="G254" s="17"/>
      <c r="H254" s="2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</row>
    <row r="255" spans="1:103" ht="13">
      <c r="A255" s="1"/>
      <c r="B255" s="17"/>
      <c r="C255" s="17"/>
      <c r="D255" s="17"/>
      <c r="E255" s="17"/>
      <c r="F255" s="17"/>
      <c r="G255" s="17"/>
      <c r="H255" s="2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</row>
    <row r="256" spans="1:103" ht="13">
      <c r="A256" s="1"/>
      <c r="B256" s="17"/>
      <c r="C256" s="17"/>
      <c r="D256" s="17"/>
      <c r="E256" s="17"/>
      <c r="F256" s="17"/>
      <c r="G256" s="17"/>
      <c r="H256" s="2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</row>
    <row r="257" spans="1:103" ht="13">
      <c r="A257" s="1"/>
      <c r="B257" s="17"/>
      <c r="C257" s="17"/>
      <c r="D257" s="17"/>
      <c r="E257" s="17"/>
      <c r="F257" s="17"/>
      <c r="G257" s="17"/>
      <c r="H257" s="2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</row>
    <row r="258" spans="1:103" ht="13">
      <c r="A258" s="1"/>
      <c r="B258" s="17"/>
      <c r="C258" s="17"/>
      <c r="D258" s="17"/>
      <c r="E258" s="17"/>
      <c r="F258" s="17"/>
      <c r="G258" s="17"/>
      <c r="H258" s="2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</row>
    <row r="259" spans="1:103" ht="13">
      <c r="A259" s="1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</row>
    <row r="260" spans="1:103" ht="13">
      <c r="A260" s="1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</row>
    <row r="261" spans="1:103" ht="13">
      <c r="A261" s="1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</row>
    <row r="262" spans="1:103" ht="13">
      <c r="A262" s="1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</row>
    <row r="263" spans="1:103" ht="13">
      <c r="A263" s="1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</row>
    <row r="264" spans="1:103" ht="13">
      <c r="A264" s="1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</row>
    <row r="265" spans="1:103" ht="13">
      <c r="A265" s="1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</row>
    <row r="266" spans="1:103" ht="13">
      <c r="A266" s="1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</row>
    <row r="267" spans="1:103" ht="13">
      <c r="A267" s="1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</row>
    <row r="268" spans="1:103" ht="13">
      <c r="A268" s="1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</row>
    <row r="269" spans="1:103" ht="13">
      <c r="A269" s="1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</row>
    <row r="270" spans="1:103" ht="13">
      <c r="A270" s="1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</row>
    <row r="271" spans="1:103" ht="13">
      <c r="A271" s="1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</row>
    <row r="272" spans="1:103" ht="13">
      <c r="A272" s="1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</row>
    <row r="273" spans="1:103" ht="13">
      <c r="A273" s="1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</row>
    <row r="274" spans="1:103" ht="13">
      <c r="A274" s="1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</row>
    <row r="275" spans="1:103" ht="13">
      <c r="A275" s="1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</row>
    <row r="276" spans="1:103" ht="13">
      <c r="A276" s="1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</row>
    <row r="277" spans="1:103" ht="13">
      <c r="A277" s="1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</row>
    <row r="278" spans="1:103" ht="13">
      <c r="A278" s="1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</row>
    <row r="279" spans="1:103" ht="13">
      <c r="A279" s="1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</row>
    <row r="280" spans="1:103" ht="13">
      <c r="A280" s="1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</row>
    <row r="281" spans="1:103" ht="13">
      <c r="A281" s="1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</row>
    <row r="282" spans="1:103" ht="13">
      <c r="A282" s="1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</row>
    <row r="283" spans="1:103" ht="13">
      <c r="A283" s="1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</row>
    <row r="284" spans="1:103" ht="13">
      <c r="A284" s="1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</row>
    <row r="285" spans="1:103" ht="13">
      <c r="A285" s="1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</row>
    <row r="286" spans="1:103" ht="13">
      <c r="A286" s="1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</row>
    <row r="287" spans="1:103" ht="13">
      <c r="A287" s="1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</row>
    <row r="288" spans="1:103" ht="13">
      <c r="A288" s="1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</row>
    <row r="289" spans="1:103" ht="13">
      <c r="A289" s="1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</row>
    <row r="290" spans="1:103" ht="13">
      <c r="A290" s="1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</row>
    <row r="291" spans="1:103" ht="13">
      <c r="A291" s="1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</row>
    <row r="292" spans="1:103" ht="13">
      <c r="A292" s="1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</row>
    <row r="293" spans="1:103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</row>
    <row r="294" spans="1:103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</row>
    <row r="295" spans="1:103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</row>
    <row r="296" spans="1:103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</row>
    <row r="297" spans="1:103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</row>
    <row r="298" spans="1:103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</row>
    <row r="299" spans="1:103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</row>
    <row r="300" spans="1:103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</row>
    <row r="301" spans="1:103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</row>
    <row r="302" spans="1:103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</row>
    <row r="303" spans="1:103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</row>
    <row r="304" spans="1:103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</row>
    <row r="305" spans="1:103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</row>
    <row r="306" spans="1:103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</row>
    <row r="307" spans="1:103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</row>
    <row r="308" spans="1:103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</row>
    <row r="309" spans="1:103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</row>
    <row r="310" spans="1:103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</row>
    <row r="311" spans="1:103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</row>
    <row r="312" spans="1:103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</row>
    <row r="313" spans="1:103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</row>
    <row r="314" spans="1:103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</row>
    <row r="315" spans="1:103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</row>
    <row r="316" spans="1:103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</row>
    <row r="317" spans="1:103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</row>
    <row r="318" spans="1:103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</row>
    <row r="319" spans="1:103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</row>
    <row r="320" spans="1:103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</row>
    <row r="321" spans="1:103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</row>
    <row r="322" spans="1:103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</row>
    <row r="323" spans="1:103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</row>
    <row r="324" spans="1:103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</row>
    <row r="325" spans="1:103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</row>
    <row r="326" spans="1:103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</row>
    <row r="327" spans="1:103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</row>
    <row r="328" spans="1:103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</row>
    <row r="329" spans="1:103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</row>
    <row r="330" spans="1:103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</row>
    <row r="331" spans="1:103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</row>
    <row r="332" spans="1:103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</row>
    <row r="333" spans="1:103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</row>
    <row r="334" spans="1:103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</row>
    <row r="335" spans="1:103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</row>
    <row r="336" spans="1:103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</row>
    <row r="337" spans="1:103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</row>
    <row r="338" spans="1:103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</row>
    <row r="339" spans="1:103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</row>
    <row r="340" spans="1:103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</row>
    <row r="341" spans="1:103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</row>
    <row r="342" spans="1:103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</row>
    <row r="343" spans="1:103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</row>
    <row r="344" spans="1:103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</row>
    <row r="345" spans="1:103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</row>
    <row r="346" spans="1:103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</row>
    <row r="347" spans="1:103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</row>
    <row r="348" spans="1:103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</row>
    <row r="349" spans="1:103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</row>
    <row r="350" spans="1:103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</row>
    <row r="351" spans="1:103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</row>
    <row r="352" spans="1:103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</row>
    <row r="353" spans="1:103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</row>
    <row r="354" spans="1:103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</row>
    <row r="355" spans="1:103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</row>
    <row r="356" spans="1:103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</row>
    <row r="357" spans="1:103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</row>
    <row r="358" spans="1:103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</row>
    <row r="359" spans="1:103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</row>
    <row r="360" spans="1:103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</row>
    <row r="361" spans="1:103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</row>
    <row r="362" spans="1:103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</row>
    <row r="363" spans="1:103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</row>
    <row r="364" spans="1:103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</row>
    <row r="365" spans="1:103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</row>
    <row r="366" spans="1:103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</row>
    <row r="367" spans="1:103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</row>
    <row r="368" spans="1:103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</row>
    <row r="369" spans="1:103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</row>
    <row r="370" spans="1:103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</row>
    <row r="371" spans="1:103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</row>
    <row r="372" spans="1:103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</row>
    <row r="373" spans="1:103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</row>
    <row r="374" spans="1:103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</row>
    <row r="375" spans="1:103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</row>
    <row r="376" spans="1:103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</row>
    <row r="377" spans="1:103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</row>
    <row r="378" spans="1:103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</row>
    <row r="379" spans="1:103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</row>
    <row r="380" spans="1:103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</row>
    <row r="381" spans="1:103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</row>
    <row r="382" spans="1:103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</row>
    <row r="383" spans="1:103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</row>
    <row r="384" spans="1:103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</row>
    <row r="385" spans="1:103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</row>
    <row r="386" spans="1:103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</row>
    <row r="387" spans="1:103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</row>
    <row r="388" spans="1:103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</row>
    <row r="389" spans="1:103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</row>
    <row r="390" spans="1:103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</row>
    <row r="391" spans="1:103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</row>
    <row r="392" spans="1:103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</row>
    <row r="393" spans="1:103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</row>
    <row r="394" spans="1:103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</row>
    <row r="395" spans="1:103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</row>
    <row r="396" spans="1:103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</row>
    <row r="397" spans="1:103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</row>
    <row r="398" spans="1:103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</row>
    <row r="399" spans="1:103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</row>
    <row r="400" spans="1:103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</row>
    <row r="401" spans="1:103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</row>
    <row r="402" spans="1:103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</row>
    <row r="403" spans="1:103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</row>
    <row r="404" spans="1:103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</row>
    <row r="405" spans="1:103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</row>
    <row r="406" spans="1:103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</row>
    <row r="407" spans="1:103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</row>
    <row r="408" spans="1:103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</row>
    <row r="409" spans="1:103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</row>
    <row r="410" spans="1:103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</row>
    <row r="411" spans="1:103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</row>
    <row r="412" spans="1:103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</row>
    <row r="413" spans="1:103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</row>
    <row r="414" spans="1:103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</row>
    <row r="415" spans="1:103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</row>
    <row r="416" spans="1:103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</row>
    <row r="417" spans="1:103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</row>
    <row r="418" spans="1:103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</row>
    <row r="419" spans="1:103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</row>
    <row r="420" spans="1:103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</row>
    <row r="421" spans="1:103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</row>
    <row r="422" spans="1:103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</row>
    <row r="423" spans="1:103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</row>
    <row r="424" spans="1:103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</row>
    <row r="425" spans="1:103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</row>
    <row r="426" spans="1:103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</row>
    <row r="427" spans="1:103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</row>
    <row r="428" spans="1:103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</row>
    <row r="429" spans="1:103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</row>
    <row r="430" spans="1:103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</row>
    <row r="431" spans="1:103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</row>
    <row r="432" spans="1:103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</row>
    <row r="433" spans="1:103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</row>
    <row r="434" spans="1:103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</row>
    <row r="435" spans="1:103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</row>
    <row r="436" spans="1:103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</row>
    <row r="437" spans="1:103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</row>
    <row r="438" spans="1:103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</row>
    <row r="439" spans="1:103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</row>
    <row r="440" spans="1:103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</row>
    <row r="441" spans="1:103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</row>
    <row r="442" spans="1:103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</row>
    <row r="443" spans="1:103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</row>
    <row r="444" spans="1:103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</row>
    <row r="445" spans="1:103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</row>
    <row r="446" spans="1:103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</row>
    <row r="447" spans="1:103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</row>
    <row r="448" spans="1:103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</row>
    <row r="449" spans="1:103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</row>
    <row r="450" spans="1:103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</row>
    <row r="451" spans="1:103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</row>
    <row r="452" spans="1:103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</row>
    <row r="453" spans="1:103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</row>
    <row r="454" spans="1:103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</row>
    <row r="455" spans="1:103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</row>
    <row r="456" spans="1:103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</row>
    <row r="457" spans="1:103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</row>
    <row r="458" spans="1:103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</row>
    <row r="459" spans="1:103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</row>
    <row r="460" spans="1:103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</row>
    <row r="461" spans="1:103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</row>
    <row r="462" spans="1:103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</row>
    <row r="463" spans="1:103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</row>
    <row r="464" spans="1:103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</row>
    <row r="465" spans="1:103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</row>
    <row r="466" spans="1:103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</row>
    <row r="467" spans="1:103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</row>
    <row r="468" spans="1:103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</row>
    <row r="469" spans="1:103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</row>
    <row r="470" spans="1:103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</row>
    <row r="471" spans="1:103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</row>
    <row r="472" spans="1:103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</row>
    <row r="473" spans="1:103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</row>
    <row r="474" spans="1:103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</row>
    <row r="475" spans="1:103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</row>
    <row r="476" spans="1:103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</row>
    <row r="477" spans="1:103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</row>
    <row r="478" spans="1:103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</row>
    <row r="479" spans="1:103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</row>
    <row r="480" spans="1:103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</row>
    <row r="481" spans="1:103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</row>
    <row r="482" spans="1:103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</row>
    <row r="483" spans="1:103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</row>
    <row r="484" spans="1:103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</row>
    <row r="485" spans="1:103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</row>
    <row r="486" spans="1:103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</row>
    <row r="487" spans="1:103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</row>
    <row r="488" spans="1:103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</row>
    <row r="489" spans="1:103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</row>
    <row r="490" spans="1:103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</row>
    <row r="491" spans="1:103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</row>
    <row r="492" spans="1:103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</row>
    <row r="493" spans="1:103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</row>
    <row r="494" spans="1:103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</row>
    <row r="495" spans="1:103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</row>
    <row r="496" spans="1:103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</row>
    <row r="497" spans="1:103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</row>
    <row r="498" spans="1:103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</row>
    <row r="499" spans="1:103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</row>
    <row r="500" spans="1:103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</row>
    <row r="501" spans="1:103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</row>
    <row r="502" spans="1:103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</row>
    <row r="503" spans="1:103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</row>
    <row r="504" spans="1:103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</row>
    <row r="505" spans="1:103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</row>
    <row r="506" spans="1:103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</row>
    <row r="507" spans="1:103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</row>
    <row r="508" spans="1:103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</row>
    <row r="509" spans="1:103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</row>
    <row r="510" spans="1:103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</row>
    <row r="511" spans="1:103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</row>
    <row r="512" spans="1:103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</row>
    <row r="513" spans="1:103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</row>
    <row r="514" spans="1:103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</row>
    <row r="515" spans="1:103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</row>
    <row r="516" spans="1:103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</row>
    <row r="517" spans="1:103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</row>
    <row r="518" spans="1:103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</row>
    <row r="519" spans="1:103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</row>
    <row r="520" spans="1:103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</row>
    <row r="521" spans="1:103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</row>
    <row r="522" spans="1:103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</row>
    <row r="523" spans="1:103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</row>
    <row r="524" spans="1:103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</row>
    <row r="525" spans="1:103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</row>
    <row r="526" spans="1:103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</row>
    <row r="527" spans="1:103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</row>
    <row r="528" spans="1:103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</row>
    <row r="529" spans="1:103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</row>
    <row r="530" spans="1:103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</row>
    <row r="531" spans="1:103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</row>
    <row r="532" spans="1:103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</row>
    <row r="533" spans="1:103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</row>
    <row r="534" spans="1:103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</row>
    <row r="535" spans="1:103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</row>
    <row r="536" spans="1:103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</row>
    <row r="537" spans="1:103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</row>
    <row r="538" spans="1:103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</row>
    <row r="539" spans="1:103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</row>
    <row r="540" spans="1:103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</row>
    <row r="541" spans="1:103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</row>
    <row r="542" spans="1:103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</row>
    <row r="543" spans="1:103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</row>
    <row r="544" spans="1:103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</row>
    <row r="545" spans="1:103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</row>
    <row r="546" spans="1:103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</row>
    <row r="547" spans="1:103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</row>
    <row r="548" spans="1:103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</row>
    <row r="549" spans="1:103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</row>
    <row r="550" spans="1:103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</row>
    <row r="551" spans="1:103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</row>
    <row r="552" spans="1:103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</row>
    <row r="553" spans="1:103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</row>
    <row r="554" spans="1:103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</row>
    <row r="555" spans="1:103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</row>
    <row r="556" spans="1:103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</row>
    <row r="557" spans="1:103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</row>
    <row r="558" spans="1:103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</row>
    <row r="559" spans="1:103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</row>
    <row r="560" spans="1:103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</row>
    <row r="561" spans="1:103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</row>
    <row r="562" spans="1:103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</row>
    <row r="563" spans="1:103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</row>
    <row r="564" spans="1:103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</row>
    <row r="565" spans="1:103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</row>
    <row r="566" spans="1:103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</row>
    <row r="567" spans="1:103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</row>
    <row r="568" spans="1:103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</row>
    <row r="569" spans="1:103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</row>
    <row r="570" spans="1:103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</row>
    <row r="571" spans="1:103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</row>
    <row r="572" spans="1:103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</row>
    <row r="573" spans="1:103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</row>
    <row r="574" spans="1:103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</row>
    <row r="575" spans="1:103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</row>
    <row r="576" spans="1:103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</row>
    <row r="577" spans="1:103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</row>
    <row r="578" spans="1:103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</row>
    <row r="579" spans="1:103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</row>
    <row r="580" spans="1:103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</row>
    <row r="581" spans="1:103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</row>
    <row r="582" spans="1:103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</row>
    <row r="583" spans="1:103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</row>
    <row r="584" spans="1:103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</row>
    <row r="585" spans="1:103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</row>
    <row r="586" spans="1:103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</row>
    <row r="587" spans="1:103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</row>
    <row r="588" spans="1:103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</row>
    <row r="589" spans="1:103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</row>
    <row r="590" spans="1:103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</row>
    <row r="591" spans="1:103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</row>
    <row r="592" spans="1:103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</row>
    <row r="593" spans="1:103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</row>
    <row r="594" spans="1:103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</row>
    <row r="595" spans="1:103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</row>
    <row r="596" spans="1:103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</row>
    <row r="597" spans="1:103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</row>
    <row r="598" spans="1:103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</row>
    <row r="599" spans="1:103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</row>
    <row r="600" spans="1:103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</row>
    <row r="601" spans="1:103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</row>
    <row r="602" spans="1:103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</row>
    <row r="603" spans="1:103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</row>
    <row r="604" spans="1:103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</row>
    <row r="605" spans="1:103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</row>
    <row r="606" spans="1:103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</row>
    <row r="607" spans="1:103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</row>
    <row r="608" spans="1:103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</row>
    <row r="609" spans="1:103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</row>
    <row r="610" spans="1:103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</row>
    <row r="611" spans="1:103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</row>
    <row r="612" spans="1:103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</row>
    <row r="613" spans="1:103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</row>
    <row r="614" spans="1:103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</row>
    <row r="615" spans="1:103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</row>
    <row r="616" spans="1:103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</row>
    <row r="617" spans="1:103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</row>
    <row r="618" spans="1:103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</row>
    <row r="619" spans="1:103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</row>
    <row r="620" spans="1:103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</row>
    <row r="621" spans="1:103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</row>
    <row r="622" spans="1:103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</row>
    <row r="623" spans="1:103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</row>
    <row r="624" spans="1:103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</row>
    <row r="625" spans="1:103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</row>
    <row r="626" spans="1:103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</row>
    <row r="627" spans="1:103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</row>
    <row r="628" spans="1:103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</row>
    <row r="629" spans="1:103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</row>
    <row r="630" spans="1:103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</row>
    <row r="631" spans="1:103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</row>
    <row r="632" spans="1:103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</row>
    <row r="633" spans="1:103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</row>
    <row r="634" spans="1:103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</row>
    <row r="635" spans="1:103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</row>
    <row r="636" spans="1:103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</row>
    <row r="637" spans="1:103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</row>
    <row r="638" spans="1:103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</row>
    <row r="639" spans="1:103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</row>
    <row r="640" spans="1:103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</row>
    <row r="641" spans="1:103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</row>
    <row r="642" spans="1:103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</row>
    <row r="643" spans="1:103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</row>
    <row r="644" spans="1:103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</row>
    <row r="645" spans="1:103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</row>
    <row r="646" spans="1:103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</row>
    <row r="647" spans="1:103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</row>
    <row r="648" spans="1:103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</row>
    <row r="649" spans="1:103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</row>
    <row r="650" spans="1:103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</row>
    <row r="651" spans="1:103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</row>
    <row r="652" spans="1:103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</row>
    <row r="653" spans="1:103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</row>
    <row r="654" spans="1:103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</row>
    <row r="655" spans="1:103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</row>
    <row r="656" spans="1:103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</row>
    <row r="657" spans="1:103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</row>
    <row r="658" spans="1:103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</row>
    <row r="659" spans="1:103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</row>
    <row r="660" spans="1:103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</row>
    <row r="661" spans="1:103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</row>
    <row r="662" spans="1:103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</row>
    <row r="663" spans="1:103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</row>
    <row r="664" spans="1:103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</row>
    <row r="665" spans="1:103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</row>
    <row r="666" spans="1:103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</row>
    <row r="667" spans="1:103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</row>
    <row r="668" spans="1:103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</row>
    <row r="669" spans="1:103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</row>
    <row r="670" spans="1:103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</row>
    <row r="671" spans="1:103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</row>
    <row r="672" spans="1:103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</row>
    <row r="673" spans="1:103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</row>
    <row r="674" spans="1:103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</row>
    <row r="675" spans="1:103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</row>
    <row r="676" spans="1:103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</row>
    <row r="677" spans="1:103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</row>
    <row r="678" spans="1:103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</row>
    <row r="679" spans="1:103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</row>
    <row r="680" spans="1:103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</row>
    <row r="681" spans="1:103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</row>
    <row r="682" spans="1:103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</row>
    <row r="683" spans="1:103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</row>
    <row r="684" spans="1:103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</row>
    <row r="685" spans="1:103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</row>
    <row r="686" spans="1:103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</row>
    <row r="687" spans="1:103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</row>
    <row r="688" spans="1:103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</row>
    <row r="689" spans="1:103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</row>
    <row r="690" spans="1:103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</row>
    <row r="691" spans="1:103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</row>
    <row r="692" spans="1:103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</row>
    <row r="693" spans="1:103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</row>
    <row r="694" spans="1:103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</row>
    <row r="695" spans="1:103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</row>
    <row r="696" spans="1:103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</row>
    <row r="697" spans="1:103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</row>
    <row r="698" spans="1:103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</row>
    <row r="699" spans="1:103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</row>
    <row r="700" spans="1:103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</row>
    <row r="701" spans="1:103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</row>
    <row r="702" spans="1:103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</row>
    <row r="703" spans="1:103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</row>
    <row r="704" spans="1:103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</row>
    <row r="705" spans="1:103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</row>
    <row r="706" spans="1:103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</row>
    <row r="707" spans="1:103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</row>
    <row r="708" spans="1:103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</row>
    <row r="709" spans="1:103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</row>
    <row r="710" spans="1:103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</row>
    <row r="711" spans="1:103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</row>
    <row r="712" spans="1:103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</row>
    <row r="713" spans="1:103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</row>
    <row r="714" spans="1:103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</row>
    <row r="715" spans="1:103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</row>
    <row r="716" spans="1:103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</row>
    <row r="717" spans="1:103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</row>
    <row r="718" spans="1:103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</row>
    <row r="719" spans="1:103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</row>
    <row r="720" spans="1:103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</row>
    <row r="721" spans="1:103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</row>
    <row r="722" spans="1:103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</row>
    <row r="723" spans="1:103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</row>
    <row r="724" spans="1:103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</row>
    <row r="725" spans="1:103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</row>
    <row r="726" spans="1:103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</row>
    <row r="727" spans="1:103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</row>
    <row r="728" spans="1:103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</row>
    <row r="729" spans="1:103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</row>
    <row r="730" spans="1:103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</row>
    <row r="731" spans="1:103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</row>
    <row r="732" spans="1:103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</row>
    <row r="733" spans="1:103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</row>
    <row r="734" spans="1:103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</row>
    <row r="735" spans="1:103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</row>
    <row r="736" spans="1:103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</row>
    <row r="737" spans="1:103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</row>
    <row r="738" spans="1:103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</row>
    <row r="739" spans="1:103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</row>
    <row r="740" spans="1:103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</row>
    <row r="741" spans="1:103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</row>
    <row r="742" spans="1:103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</row>
    <row r="743" spans="1:103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</row>
    <row r="744" spans="1:103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</row>
    <row r="745" spans="1:103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</row>
    <row r="746" spans="1:103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</row>
    <row r="747" spans="1:103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</row>
    <row r="748" spans="1:103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</row>
    <row r="749" spans="1:103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</row>
    <row r="750" spans="1:103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</row>
    <row r="751" spans="1:103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</row>
    <row r="752" spans="1:103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</row>
    <row r="753" spans="1:103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</row>
    <row r="754" spans="1:103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</row>
    <row r="755" spans="1:103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</row>
    <row r="756" spans="1:103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</row>
    <row r="757" spans="1:103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</row>
    <row r="758" spans="1:103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</row>
    <row r="759" spans="1:103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</row>
    <row r="760" spans="1:103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</row>
    <row r="761" spans="1:103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</row>
    <row r="762" spans="1:103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</row>
    <row r="763" spans="1:103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</row>
    <row r="764" spans="1:103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</row>
    <row r="765" spans="1:103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</row>
    <row r="766" spans="1:103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</row>
    <row r="767" spans="1:103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</row>
    <row r="768" spans="1:103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</row>
    <row r="769" spans="1:103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</row>
    <row r="770" spans="1:103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</row>
    <row r="771" spans="1:103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</row>
    <row r="772" spans="1:103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</row>
    <row r="773" spans="1:103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</row>
    <row r="774" spans="1:103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</row>
    <row r="775" spans="1:103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</row>
    <row r="776" spans="1:103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</row>
    <row r="777" spans="1:103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</row>
    <row r="778" spans="1:103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</row>
    <row r="779" spans="1:103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</row>
    <row r="780" spans="1:103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</row>
    <row r="781" spans="1:103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</row>
    <row r="782" spans="1:103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</row>
    <row r="783" spans="1:103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</row>
    <row r="784" spans="1:103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</row>
    <row r="785" spans="1:103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</row>
    <row r="786" spans="1:103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</row>
    <row r="787" spans="1:103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</row>
    <row r="788" spans="1:103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</row>
    <row r="789" spans="1:103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</row>
    <row r="790" spans="1:103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</row>
    <row r="791" spans="1:103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</row>
    <row r="792" spans="1:103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</row>
    <row r="793" spans="1:103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</row>
    <row r="794" spans="1:103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</row>
    <row r="795" spans="1:103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</row>
    <row r="796" spans="1:103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</row>
    <row r="797" spans="1:103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</row>
    <row r="798" spans="1:103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</row>
    <row r="799" spans="1:103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</row>
    <row r="800" spans="1:103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</row>
    <row r="801" spans="1:103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</row>
    <row r="802" spans="1:103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</row>
    <row r="803" spans="1:103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</row>
    <row r="804" spans="1:103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</row>
    <row r="805" spans="1:103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</row>
    <row r="806" spans="1:103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</row>
    <row r="807" spans="1:103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</row>
    <row r="808" spans="1:103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</row>
    <row r="809" spans="1:103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</row>
    <row r="810" spans="1:103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</row>
    <row r="811" spans="1:103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</row>
    <row r="812" spans="1:103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</row>
    <row r="813" spans="1:103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</row>
    <row r="814" spans="1:103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</row>
    <row r="815" spans="1:103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</row>
    <row r="816" spans="1:103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</row>
    <row r="817" spans="1:103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</row>
    <row r="818" spans="1:103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</row>
    <row r="819" spans="1:103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</row>
    <row r="820" spans="1:103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</row>
    <row r="821" spans="1:103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</row>
    <row r="822" spans="1:103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</row>
    <row r="823" spans="1:103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</row>
    <row r="824" spans="1:103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</row>
    <row r="825" spans="1:103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</row>
    <row r="826" spans="1:103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</row>
    <row r="827" spans="1:103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</row>
    <row r="828" spans="1:103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</row>
    <row r="829" spans="1:103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</row>
    <row r="830" spans="1:103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</row>
    <row r="831" spans="1:103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</row>
    <row r="832" spans="1:103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</row>
    <row r="833" spans="1:103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</row>
    <row r="834" spans="1:103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</row>
    <row r="835" spans="1:103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</row>
    <row r="836" spans="1:103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</row>
    <row r="837" spans="1:103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</row>
    <row r="838" spans="1:103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</row>
    <row r="839" spans="1:103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</row>
    <row r="840" spans="1:103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</row>
    <row r="841" spans="1:103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</row>
    <row r="842" spans="1:103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</row>
    <row r="843" spans="1:103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</row>
    <row r="844" spans="1:103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</row>
    <row r="845" spans="1:103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</row>
    <row r="846" spans="1:103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</row>
    <row r="847" spans="1:103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</row>
    <row r="848" spans="1:103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</row>
    <row r="849" spans="1:103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</row>
    <row r="850" spans="1:103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</row>
    <row r="851" spans="1:103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</row>
    <row r="852" spans="1:103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</row>
    <row r="853" spans="1:103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</row>
    <row r="854" spans="1:103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</row>
    <row r="855" spans="1:103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</row>
    <row r="856" spans="1:103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</row>
    <row r="857" spans="1:103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</row>
    <row r="858" spans="1:103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</row>
    <row r="859" spans="1:103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</row>
    <row r="860" spans="1:103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</row>
    <row r="861" spans="1:103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</row>
    <row r="862" spans="1:103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</row>
    <row r="863" spans="1:103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</row>
    <row r="864" spans="1:103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</row>
    <row r="865" spans="1:103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</row>
    <row r="866" spans="1:103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</row>
    <row r="867" spans="1:103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</row>
    <row r="868" spans="1:103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</row>
    <row r="869" spans="1:103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</row>
    <row r="870" spans="1:103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</row>
    <row r="871" spans="1:103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</row>
    <row r="872" spans="1:103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</row>
    <row r="873" spans="1:103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</row>
    <row r="874" spans="1:103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</row>
    <row r="875" spans="1:103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</row>
    <row r="876" spans="1:103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</row>
    <row r="877" spans="1:103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</row>
    <row r="878" spans="1:103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</row>
    <row r="879" spans="1:103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</row>
    <row r="880" spans="1:103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</row>
    <row r="881" spans="1:103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</row>
    <row r="882" spans="1:103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</row>
    <row r="883" spans="1:103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</row>
    <row r="884" spans="1:103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</row>
    <row r="885" spans="1:103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</row>
    <row r="886" spans="1:103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</row>
    <row r="887" spans="1:103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</row>
    <row r="888" spans="1:103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</row>
    <row r="889" spans="1:103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</row>
    <row r="890" spans="1:103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</row>
    <row r="891" spans="1:103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</row>
    <row r="892" spans="1:103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</row>
    <row r="893" spans="1:103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</row>
    <row r="894" spans="1:103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</row>
    <row r="895" spans="1:103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</row>
    <row r="896" spans="1:103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</row>
    <row r="897" spans="1:103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</row>
    <row r="898" spans="1:103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</row>
    <row r="899" spans="1:103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</row>
    <row r="900" spans="1:103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</row>
    <row r="901" spans="1:103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</row>
    <row r="902" spans="1:103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</row>
    <row r="903" spans="1:103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</row>
    <row r="904" spans="1:103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</row>
    <row r="905" spans="1:103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</row>
    <row r="906" spans="1:103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</row>
    <row r="907" spans="1:103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</row>
    <row r="908" spans="1:103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</row>
    <row r="909" spans="1:103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</row>
    <row r="910" spans="1:103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</row>
    <row r="911" spans="1:103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</row>
    <row r="912" spans="1:103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</row>
    <row r="913" spans="1:103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</row>
    <row r="914" spans="1:103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</row>
    <row r="915" spans="1:103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</row>
    <row r="916" spans="1:103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</row>
    <row r="917" spans="1:103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</row>
    <row r="918" spans="1:103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</row>
    <row r="919" spans="1:103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</row>
    <row r="920" spans="1:103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</row>
    <row r="921" spans="1:103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</row>
    <row r="922" spans="1:103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</row>
    <row r="923" spans="1:103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</row>
    <row r="924" spans="1:103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</row>
    <row r="925" spans="1:103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</row>
    <row r="926" spans="1:103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</row>
    <row r="927" spans="1:103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</row>
    <row r="928" spans="1:103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</row>
    <row r="929" spans="1:103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</row>
    <row r="930" spans="1:103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</row>
    <row r="931" spans="1:103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</row>
    <row r="932" spans="1:103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</row>
    <row r="933" spans="1:103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</row>
    <row r="934" spans="1:103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</row>
    <row r="935" spans="1:103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</row>
    <row r="936" spans="1:103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</row>
    <row r="937" spans="1:103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</row>
    <row r="938" spans="1:103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</row>
    <row r="939" spans="1:103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</row>
    <row r="940" spans="1:103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</row>
    <row r="941" spans="1:103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</row>
    <row r="942" spans="1:103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</row>
    <row r="943" spans="1:103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</row>
    <row r="944" spans="1:103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</row>
    <row r="945" spans="1:103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</row>
    <row r="946" spans="1:103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</row>
    <row r="947" spans="1:103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</row>
    <row r="948" spans="1:103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</row>
    <row r="949" spans="1:103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</row>
    <row r="950" spans="1:103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</row>
    <row r="951" spans="1:103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</row>
    <row r="952" spans="1:103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</row>
    <row r="953" spans="1:103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</row>
    <row r="954" spans="1:103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</row>
    <row r="955" spans="1:103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</row>
    <row r="956" spans="1:103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</row>
    <row r="957" spans="1:103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</row>
    <row r="958" spans="1:103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</row>
    <row r="959" spans="1:103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</row>
    <row r="960" spans="1:103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</row>
    <row r="961" spans="1:103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</row>
    <row r="962" spans="1:103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</row>
    <row r="963" spans="1:103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</row>
    <row r="964" spans="1:103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</row>
    <row r="965" spans="1:103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</row>
    <row r="966" spans="1:103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</row>
    <row r="967" spans="1:103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</row>
    <row r="968" spans="1:103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</row>
    <row r="969" spans="1:103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</row>
    <row r="970" spans="1:103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</row>
    <row r="971" spans="1:103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</row>
    <row r="972" spans="1:103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</row>
    <row r="973" spans="1:103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</row>
    <row r="974" spans="1:103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</row>
    <row r="975" spans="1:103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</row>
    <row r="976" spans="1:103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</row>
    <row r="977" spans="1:103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</row>
    <row r="978" spans="1:103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</row>
    <row r="979" spans="1:103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</row>
    <row r="980" spans="1:103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</row>
    <row r="981" spans="1:103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</row>
    <row r="982" spans="1:103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</row>
    <row r="983" spans="1:103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</row>
    <row r="984" spans="1:103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</row>
    <row r="985" spans="1:103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</row>
    <row r="986" spans="1:103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</row>
    <row r="987" spans="1:103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</row>
    <row r="988" spans="1:103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</row>
    <row r="989" spans="1:103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</row>
    <row r="990" spans="1:103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</row>
    <row r="991" spans="1:103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</row>
    <row r="992" spans="1:103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</row>
    <row r="993" spans="1:103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</row>
    <row r="994" spans="1:103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</row>
    <row r="995" spans="1:103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</row>
    <row r="996" spans="1:103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</row>
    <row r="997" spans="1:103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</row>
    <row r="998" spans="1:103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</row>
    <row r="999" spans="1:103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</row>
    <row r="1000" spans="1:103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</row>
    <row r="1001" spans="1:103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</row>
    <row r="1002" spans="1:103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</row>
    <row r="1003" spans="1:103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</row>
    <row r="1004" spans="1:103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</row>
    <row r="1005" spans="1:103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</row>
    <row r="1006" spans="1:103" ht="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</row>
    <row r="1007" spans="1:103" ht="1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</row>
    <row r="1008" spans="1:103" ht="1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</row>
    <row r="1009" spans="1:103" ht="1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  <c r="CY1009" s="17"/>
    </row>
    <row r="1010" spans="1:103" ht="1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  <c r="CY1010" s="17"/>
    </row>
    <row r="1011" spans="1:103" ht="1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</row>
    <row r="1012" spans="1:103" ht="1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  <c r="CY1012" s="17"/>
    </row>
    <row r="1013" spans="1:103" ht="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  <c r="CY1013" s="17"/>
    </row>
    <row r="1014" spans="1:103" ht="13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  <c r="CY1014" s="17"/>
    </row>
    <row r="1015" spans="1:103" ht="13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  <c r="CY1015" s="17"/>
    </row>
    <row r="1016" spans="1:103" ht="13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7"/>
      <c r="CX1016" s="17"/>
      <c r="CY1016" s="17"/>
    </row>
    <row r="1017" spans="1:103" ht="13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7"/>
      <c r="CX1017" s="17"/>
      <c r="CY1017" s="17"/>
    </row>
    <row r="1018" spans="1:103" ht="13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7"/>
      <c r="CX1018" s="17"/>
      <c r="CY1018" s="17"/>
    </row>
    <row r="1019" spans="1:103" ht="13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7"/>
      <c r="CX1019" s="17"/>
      <c r="CY1019" s="17"/>
    </row>
    <row r="1020" spans="1:103" ht="13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7"/>
      <c r="CX1020" s="17"/>
      <c r="CY1020" s="17"/>
    </row>
    <row r="1021" spans="1:103" ht="13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7"/>
      <c r="CY1021" s="17"/>
    </row>
    <row r="1022" spans="1:103" ht="13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7"/>
      <c r="CX1022" s="17"/>
      <c r="CY1022" s="17"/>
    </row>
    <row r="1023" spans="1:103" ht="1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7"/>
      <c r="CX1023" s="17"/>
      <c r="CY1023" s="17"/>
    </row>
    <row r="1024" spans="1:103" ht="13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7"/>
      <c r="CX1024" s="17"/>
      <c r="CY1024" s="17"/>
    </row>
    <row r="1025" spans="1:103" ht="13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7"/>
      <c r="CX1025" s="17"/>
      <c r="CY1025" s="17"/>
    </row>
    <row r="1026" spans="1:103" ht="13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7"/>
      <c r="CX1026" s="17"/>
      <c r="CY1026" s="17"/>
    </row>
    <row r="1027" spans="1:103" ht="13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7"/>
      <c r="CX1027" s="17"/>
      <c r="CY1027" s="17"/>
    </row>
    <row r="1028" spans="1:103" ht="13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7"/>
      <c r="CX1028" s="17"/>
      <c r="CY1028" s="17"/>
    </row>
    <row r="1029" spans="1:103" ht="13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7"/>
      <c r="CX1029" s="17"/>
      <c r="CY1029" s="17"/>
    </row>
    <row r="1030" spans="1:103" ht="13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7"/>
      <c r="CX1030" s="17"/>
      <c r="CY1030" s="17"/>
    </row>
    <row r="1031" spans="1:103" ht="13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7"/>
      <c r="CX1031" s="17"/>
      <c r="CY1031" s="17"/>
    </row>
    <row r="1032" spans="1:103" ht="13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7"/>
      <c r="CX1032" s="17"/>
      <c r="CY1032" s="17"/>
    </row>
    <row r="1033" spans="1:103" ht="1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7"/>
      <c r="CX1033" s="17"/>
      <c r="CY1033" s="17"/>
    </row>
    <row r="1034" spans="1:103" ht="13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7"/>
      <c r="CX1034" s="17"/>
      <c r="CY1034" s="17"/>
    </row>
    <row r="1035" spans="1:103" ht="13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7"/>
      <c r="CX1035" s="17"/>
      <c r="CY1035" s="17"/>
    </row>
    <row r="1036" spans="1:103" ht="13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7"/>
      <c r="CX1036" s="17"/>
      <c r="CY1036" s="17"/>
    </row>
    <row r="1037" spans="1:103" ht="13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7"/>
      <c r="CX1037" s="17"/>
      <c r="CY1037" s="17"/>
    </row>
    <row r="1038" spans="1:103" ht="13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7"/>
      <c r="CX1038" s="17"/>
      <c r="CY1038" s="17"/>
    </row>
    <row r="1039" spans="1:103" ht="13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7"/>
      <c r="CX1039" s="17"/>
      <c r="CY1039" s="17"/>
    </row>
    <row r="1040" spans="1:103" ht="13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7"/>
      <c r="CX1040" s="17"/>
      <c r="CY1040" s="17"/>
    </row>
    <row r="1041" spans="1:103" ht="13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7"/>
      <c r="CX1041" s="17"/>
      <c r="CY1041" s="17"/>
    </row>
    <row r="1042" spans="1:103" ht="13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7"/>
      <c r="CX1042" s="17"/>
      <c r="CY1042" s="17"/>
    </row>
    <row r="1043" spans="1:103" ht="1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7"/>
      <c r="CX1043" s="17"/>
      <c r="CY1043" s="17"/>
    </row>
    <row r="1044" spans="1:103" ht="13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7"/>
      <c r="CX1044" s="17"/>
      <c r="CY1044" s="17"/>
    </row>
    <row r="1045" spans="1:103" ht="13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7"/>
      <c r="CX1045" s="17"/>
      <c r="CY1045" s="17"/>
    </row>
    <row r="1046" spans="1:103" ht="13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7"/>
      <c r="CX1046" s="17"/>
      <c r="CY1046" s="17"/>
    </row>
    <row r="1047" spans="1:103" ht="13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7"/>
      <c r="CX1047" s="17"/>
      <c r="CY1047" s="17"/>
    </row>
    <row r="1048" spans="1:103" ht="13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7"/>
      <c r="CX1048" s="17"/>
      <c r="CY1048" s="17"/>
    </row>
    <row r="1049" spans="1:103" ht="13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7"/>
      <c r="CX1049" s="17"/>
      <c r="CY1049" s="17"/>
    </row>
    <row r="1050" spans="1:103" ht="13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7"/>
      <c r="CX1050" s="17"/>
      <c r="CY1050" s="17"/>
    </row>
    <row r="1051" spans="1:103" ht="13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7"/>
      <c r="CX1051" s="17"/>
      <c r="CY1051" s="17"/>
    </row>
    <row r="1052" spans="1:103" ht="13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7"/>
      <c r="CX1052" s="17"/>
      <c r="CY1052" s="17"/>
    </row>
    <row r="1053" spans="1:103" ht="1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7"/>
      <c r="CX1053" s="17"/>
      <c r="CY1053" s="17"/>
    </row>
    <row r="1054" spans="1:103" ht="13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7"/>
      <c r="CX1054" s="17"/>
      <c r="CY1054" s="17"/>
    </row>
    <row r="1055" spans="1:103" ht="13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7"/>
      <c r="CX1055" s="17"/>
      <c r="CY1055" s="17"/>
    </row>
    <row r="1056" spans="1:103" ht="13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7"/>
      <c r="CX1056" s="17"/>
      <c r="CY1056" s="17"/>
    </row>
    <row r="1057" spans="1:103" ht="13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7"/>
      <c r="CX1057" s="17"/>
      <c r="CY1057" s="17"/>
    </row>
    <row r="1058" spans="1:103" ht="13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7"/>
      <c r="CX1058" s="17"/>
      <c r="CY1058" s="17"/>
    </row>
    <row r="1059" spans="1:103" ht="13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7"/>
      <c r="CX1059" s="17"/>
      <c r="CY1059" s="17"/>
    </row>
    <row r="1060" spans="1:103" ht="13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7"/>
      <c r="CX1060" s="17"/>
      <c r="CY1060" s="17"/>
    </row>
    <row r="1061" spans="1:103" ht="13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7"/>
      <c r="CX1061" s="17"/>
      <c r="CY1061" s="17"/>
    </row>
    <row r="1062" spans="1:103" ht="13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7"/>
      <c r="CX1062" s="17"/>
      <c r="CY1062" s="17"/>
    </row>
    <row r="1063" spans="1:103" ht="1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7"/>
      <c r="CX1063" s="17"/>
      <c r="CY1063" s="17"/>
    </row>
    <row r="1064" spans="1:103" ht="13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7"/>
      <c r="CX1064" s="17"/>
      <c r="CY1064" s="17"/>
    </row>
    <row r="1065" spans="1:103" ht="13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7"/>
      <c r="CX1065" s="17"/>
      <c r="CY1065" s="17"/>
    </row>
    <row r="1066" spans="1:103" ht="13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7"/>
      <c r="CX1066" s="17"/>
      <c r="CY1066" s="17"/>
    </row>
    <row r="1067" spans="1:103" ht="13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7"/>
      <c r="CX1067" s="17"/>
      <c r="CY1067" s="17"/>
    </row>
    <row r="1068" spans="1:103" ht="13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7"/>
      <c r="CX1068" s="17"/>
      <c r="CY1068" s="17"/>
    </row>
    <row r="1069" spans="1:103" ht="13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7"/>
      <c r="CX1069" s="17"/>
      <c r="CY1069" s="17"/>
    </row>
    <row r="1070" spans="1:103" ht="13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7"/>
      <c r="CX1070" s="17"/>
      <c r="CY1070" s="17"/>
    </row>
  </sheetData>
  <conditionalFormatting sqref="L38">
    <cfRule type="notContainsBlanks" dxfId="0" priority="1">
      <formula>LEN(TRIM(L38))&gt;0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2019-09-05T17:21:30Z</dcterms:created>
  <dcterms:modified xsi:type="dcterms:W3CDTF">2019-09-05T17:21:30Z</dcterms:modified>
</cp:coreProperties>
</file>